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\Desktop\"/>
    </mc:Choice>
  </mc:AlternateContent>
  <xr:revisionPtr revIDLastSave="0" documentId="8_{FDDB9C8E-9017-4240-A74F-705142251D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_발주서" sheetId="1" r:id="rId1"/>
    <sheet name="2_일자별판매" sheetId="2" r:id="rId2"/>
  </sheets>
  <definedNames>
    <definedName name="_xlnm._FilterDatabase" localSheetId="0">'1_발주서'!A7:O14</definedName>
  </definedNames>
  <calcPr calcId="181029"/>
</workbook>
</file>

<file path=xl/calcChain.xml><?xml version="1.0" encoding="utf-8"?>
<calcChain xmlns="http://schemas.openxmlformats.org/spreadsheetml/2006/main">
  <c r="M15" i="1" l="1"/>
  <c r="M9" i="1"/>
  <c r="M10" i="1"/>
  <c r="M11" i="1"/>
  <c r="M12" i="1"/>
  <c r="M13" i="1"/>
  <c r="M14" i="1"/>
  <c r="M8" i="1"/>
  <c r="F5" i="1"/>
  <c r="F3" i="1"/>
  <c r="F1" i="1"/>
  <c r="G11" i="1"/>
  <c r="H11" i="1" s="1"/>
  <c r="DZ12" i="2"/>
  <c r="DZ11" i="2"/>
  <c r="DZ13" i="2" s="1"/>
  <c r="DZ10" i="2"/>
  <c r="DZ9" i="2"/>
  <c r="DZ8" i="2"/>
  <c r="DZ7" i="2"/>
  <c r="DZ6" i="2"/>
  <c r="DZ5" i="2"/>
  <c r="CT7" i="2"/>
  <c r="CT8" i="2"/>
  <c r="CT9" i="2"/>
  <c r="CT10" i="2"/>
  <c r="CT11" i="2"/>
  <c r="CT12" i="2"/>
  <c r="CT6" i="2"/>
  <c r="CT13" i="2" s="1"/>
  <c r="D5" i="2"/>
  <c r="BO7" i="2"/>
  <c r="BO8" i="2"/>
  <c r="BO9" i="2"/>
  <c r="BO10" i="2"/>
  <c r="BO11" i="2"/>
  <c r="BO12" i="2"/>
  <c r="BO6" i="2"/>
  <c r="BO13" i="2" s="1"/>
  <c r="AI7" i="2"/>
  <c r="AI8" i="2"/>
  <c r="AI9" i="2"/>
  <c r="AI10" i="2"/>
  <c r="AI11" i="2"/>
  <c r="AI12" i="2"/>
  <c r="AI6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J13" i="2"/>
  <c r="AK13" i="2"/>
  <c r="AL13" i="2"/>
  <c r="AM13" i="2"/>
  <c r="AI5" i="2" s="1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P13" i="2"/>
  <c r="BQ13" i="2"/>
  <c r="BR13" i="2"/>
  <c r="BS13" i="2"/>
  <c r="BT13" i="2"/>
  <c r="BU13" i="2"/>
  <c r="BV13" i="2"/>
  <c r="BO5" i="2" s="1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U13" i="2"/>
  <c r="CT5" i="2" s="1"/>
  <c r="CV13" i="2"/>
  <c r="CW13" i="2"/>
  <c r="CX13" i="2"/>
  <c r="CY13" i="2"/>
  <c r="CZ13" i="2"/>
  <c r="DA13" i="2"/>
  <c r="DB13" i="2"/>
  <c r="DC13" i="2"/>
  <c r="DD13" i="2"/>
  <c r="DE13" i="2"/>
  <c r="DF13" i="2"/>
  <c r="DG13" i="2"/>
  <c r="DH13" i="2"/>
  <c r="DI13" i="2"/>
  <c r="DJ13" i="2"/>
  <c r="DK13" i="2"/>
  <c r="DL13" i="2"/>
  <c r="DM13" i="2"/>
  <c r="DN13" i="2"/>
  <c r="DO13" i="2"/>
  <c r="DP13" i="2"/>
  <c r="DQ13" i="2"/>
  <c r="DR13" i="2"/>
  <c r="DS13" i="2"/>
  <c r="DT13" i="2"/>
  <c r="DU13" i="2"/>
  <c r="DV13" i="2"/>
  <c r="DW13" i="2"/>
  <c r="DX13" i="2"/>
  <c r="DY13" i="2"/>
  <c r="EA13" i="2"/>
  <c r="EB13" i="2"/>
  <c r="EC13" i="2"/>
  <c r="ED13" i="2"/>
  <c r="EE13" i="2"/>
  <c r="EF13" i="2"/>
  <c r="EG13" i="2"/>
  <c r="EH13" i="2"/>
  <c r="EI13" i="2"/>
  <c r="EJ13" i="2"/>
  <c r="EK13" i="2"/>
  <c r="EL13" i="2"/>
  <c r="EM13" i="2"/>
  <c r="EN13" i="2"/>
  <c r="EO13" i="2"/>
  <c r="EP13" i="2"/>
  <c r="EQ13" i="2"/>
  <c r="ER13" i="2"/>
  <c r="ES13" i="2"/>
  <c r="ET13" i="2"/>
  <c r="EU13" i="2"/>
  <c r="EV13" i="2"/>
  <c r="EW13" i="2"/>
  <c r="EX13" i="2"/>
  <c r="EY13" i="2"/>
  <c r="EZ13" i="2"/>
  <c r="FA13" i="2"/>
  <c r="FB13" i="2"/>
  <c r="FC13" i="2"/>
  <c r="FD13" i="2"/>
  <c r="FE13" i="2"/>
  <c r="FF13" i="2"/>
  <c r="FG13" i="2"/>
  <c r="E13" i="2"/>
  <c r="D7" i="2"/>
  <c r="D8" i="2"/>
  <c r="D9" i="2"/>
  <c r="D10" i="2"/>
  <c r="D11" i="2"/>
  <c r="D12" i="2"/>
  <c r="D6" i="2"/>
  <c r="D13" i="2" s="1"/>
  <c r="FH13" i="2"/>
  <c r="G9" i="1"/>
  <c r="H9" i="1" s="1"/>
  <c r="G10" i="1"/>
  <c r="H10" i="1" s="1"/>
  <c r="G12" i="1"/>
  <c r="H12" i="1" s="1"/>
  <c r="G8" i="1"/>
  <c r="I15" i="1"/>
  <c r="L9" i="1" s="1"/>
  <c r="F15" i="1"/>
  <c r="D15" i="1"/>
  <c r="E15" i="1"/>
  <c r="G14" i="1" l="1"/>
  <c r="H14" i="1" s="1"/>
  <c r="G13" i="1"/>
  <c r="H13" i="1" s="1"/>
  <c r="G15" i="1"/>
  <c r="AI13" i="2"/>
  <c r="H8" i="1"/>
  <c r="I2" i="1"/>
  <c r="L12" i="1"/>
  <c r="L11" i="1"/>
  <c r="L14" i="1"/>
  <c r="L8" i="1"/>
  <c r="L13" i="1"/>
  <c r="L10" i="1"/>
  <c r="H15" i="1" l="1"/>
  <c r="I1" i="1" s="1"/>
  <c r="L15" i="1"/>
</calcChain>
</file>

<file path=xl/sharedStrings.xml><?xml version="1.0" encoding="utf-8"?>
<sst xmlns="http://schemas.openxmlformats.org/spreadsheetml/2006/main" count="1776" uniqueCount="57">
  <si>
    <t/>
  </si>
  <si>
    <t>발주서 (초안)</t>
  </si>
  <si>
    <t>판매수량</t>
  </si>
  <si>
    <t>판매일수</t>
  </si>
  <si>
    <t>일판매</t>
  </si>
  <si>
    <t>예상 판매일수</t>
  </si>
  <si>
    <t>예상 판매수량</t>
  </si>
  <si>
    <t>품번</t>
  </si>
  <si>
    <t>칼라</t>
  </si>
  <si>
    <t>SIZE</t>
  </si>
  <si>
    <t>비율(전체)</t>
  </si>
  <si>
    <t>현재고</t>
  </si>
  <si>
    <t>발주수량</t>
  </si>
  <si>
    <t>모델판단</t>
  </si>
  <si>
    <t>긴급도</t>
  </si>
  <si>
    <t>A40TK237K1</t>
  </si>
  <si>
    <t>02</t>
  </si>
  <si>
    <t>F</t>
  </si>
  <si>
    <t>소량/조건부</t>
  </si>
  <si>
    <t>긴급</t>
  </si>
  <si>
    <t>06</t>
  </si>
  <si>
    <t>07</t>
  </si>
  <si>
    <t>08</t>
  </si>
  <si>
    <t>11</t>
  </si>
  <si>
    <t>15</t>
  </si>
  <si>
    <t>19</t>
  </si>
  <si>
    <t>총    계</t>
  </si>
  <si>
    <t>일자별 판매분석 (참고자료 원본)</t>
  </si>
  <si>
    <t>[기준일자 : 2024-09-01 ~ 2025-01-31] [품번 : A40TK237K1 ~ A40TK237K1]</t>
  </si>
  <si>
    <t>계</t>
  </si>
  <si>
    <t>누계</t>
  </si>
  <si>
    <t>판매율</t>
  </si>
  <si>
    <t>재고</t>
  </si>
  <si>
    <t>일</t>
  </si>
  <si>
    <t>월</t>
  </si>
  <si>
    <t>화</t>
  </si>
  <si>
    <t>수</t>
  </si>
  <si>
    <t>목</t>
  </si>
  <si>
    <t>금</t>
  </si>
  <si>
    <t>토</t>
  </si>
  <si>
    <t>기간판매수량
(순판매)</t>
    <phoneticPr fontId="2" type="noConversion"/>
  </si>
  <si>
    <t>목표수요
(예상수요)</t>
    <phoneticPr fontId="2" type="noConversion"/>
  </si>
  <si>
    <t>수량체크
(목표수요-현재고)</t>
    <phoneticPr fontId="2" type="noConversion"/>
  </si>
  <si>
    <t>[품번 : A40TK237K1]</t>
    <phoneticPr fontId="2" type="noConversion"/>
  </si>
  <si>
    <t>[산정방식 : 시즌구간]</t>
    <phoneticPr fontId="2" type="noConversion"/>
  </si>
  <si>
    <t>[적용기간 : 2024-09-01 ~ 2025-01-31 (153일)]</t>
    <phoneticPr fontId="2" type="noConversion"/>
  </si>
  <si>
    <t>발주수량</t>
    <phoneticPr fontId="2" type="noConversion"/>
  </si>
  <si>
    <t>목표수요</t>
    <phoneticPr fontId="2" type="noConversion"/>
  </si>
  <si>
    <t>발주비율</t>
    <phoneticPr fontId="2" type="noConversion"/>
  </si>
  <si>
    <t>24년</t>
    <phoneticPr fontId="2" type="noConversion"/>
  </si>
  <si>
    <t>9월</t>
    <phoneticPr fontId="2" type="noConversion"/>
  </si>
  <si>
    <t>10월</t>
    <phoneticPr fontId="2" type="noConversion"/>
  </si>
  <si>
    <t>11월</t>
    <phoneticPr fontId="2" type="noConversion"/>
  </si>
  <si>
    <t>25년</t>
    <phoneticPr fontId="2" type="noConversion"/>
  </si>
  <si>
    <t>12월</t>
    <phoneticPr fontId="2" type="noConversion"/>
  </si>
  <si>
    <t>1월</t>
    <phoneticPr fontId="2" type="noConversion"/>
  </si>
  <si>
    <t>비율차이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</si>
</sst>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4">
    <font>
      <sz val="12"/>
      <color theme="1"/>
      <name val="ë§ì ê³ ë"/>
      <family val="2"/>
      <scheme val="minor"/>
    </font>
    <font>
      <sz val="12"/>
      <color theme="1"/>
      <name val="ë§ì ê³ ë"/>
      <family val="2"/>
      <scheme val="minor"/>
    </font>
    <font>
      <sz val="8"/>
      <name val="ë§ì ê³ ë"/>
      <family val="3"/>
      <charset val="129"/>
      <scheme val="minor"/>
    </font>
    <font>
      <b/>
      <sz val="12"/>
      <color theme="1"/>
      <name val="ë§ì ê³ ë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6" fontId="0" fillId="0" borderId="0" xfId="1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/>
    </xf>
    <xf numFmtId="176" fontId="3" fillId="0" borderId="0" xfId="1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77" fontId="3" fillId="0" borderId="0" xfId="1" applyNumberFormat="1" applyFont="1" applyAlignment="1">
      <alignment horizontal="center" vertical="center"/>
    </xf>
    <xf numFmtId="176" fontId="3" fillId="0" borderId="0" xfId="1" applyNumberFormat="1" applyFont="1" applyAlignment="1">
      <alignment horizontal="center" vertical="center"/>
    </xf>
    <xf numFmtId="176" fontId="0" fillId="0" borderId="0" xfId="0" applyNumberFormat="1" applyAlignment="1">
      <alignment vertical="center"/>
    </xf>
    <xf numFmtId="176" fontId="3" fillId="0" borderId="0" xfId="0" applyNumberFormat="1" applyFont="1" applyAlignme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5"/>
  <sheetViews>
    <sheetView tabSelected="1" workbookViewId="0">
      <selection activeCell="A7" sqref="A7"/>
    </sheetView>
  </sheetViews>
  <sheetFormatPr defaultRowHeight="14.25"/>
  <cols>
    <col min="1" max="1" width="18.75" style="2" customWidth="1"/>
    <col min="2" max="3" width="5.5" style="2" bestFit="1" customWidth="1"/>
    <col min="4" max="4" width="22.5" style="2" customWidth="1"/>
    <col min="5" max="5" width="15" style="2" bestFit="1" customWidth="1"/>
    <col min="6" max="6" width="7.5" style="2" bestFit="1" customWidth="1"/>
    <col min="7" max="7" width="11.625" style="2" bestFit="1" customWidth="1"/>
    <col min="8" max="8" width="15" style="2" bestFit="1" customWidth="1"/>
    <col min="9" max="9" width="9.5" style="2" bestFit="1" customWidth="1"/>
    <col min="10" max="10" width="12.75" style="2" customWidth="1"/>
    <col min="11" max="11" width="7.5" style="2" bestFit="1" customWidth="1"/>
    <col min="12" max="12" width="10.75" style="3" customWidth="1"/>
    <col min="13" max="13" width="10.25" style="3" bestFit="1" customWidth="1"/>
    <col min="14" max="16384" width="9" style="3"/>
  </cols>
  <sheetData>
    <row r="1" spans="1:13">
      <c r="A1" s="13" t="s">
        <v>1</v>
      </c>
      <c r="B1" s="13" t="s">
        <v>0</v>
      </c>
      <c r="C1" s="13" t="s">
        <v>0</v>
      </c>
      <c r="D1" s="14" t="s">
        <v>0</v>
      </c>
      <c r="E1" s="10" t="s">
        <v>2</v>
      </c>
      <c r="F1" s="2">
        <f>'2_일자별판매'!FG13</f>
        <v>155</v>
      </c>
      <c r="G1" s="2" t="s">
        <v>0</v>
      </c>
      <c r="H1" s="10" t="s">
        <v>47</v>
      </c>
      <c r="I1" s="5">
        <f>H15</f>
        <v>117</v>
      </c>
      <c r="J1" s="2" t="s">
        <v>0</v>
      </c>
    </row>
    <row r="2" spans="1:13">
      <c r="A2" s="13" t="s">
        <v>43</v>
      </c>
      <c r="B2" s="13" t="s">
        <v>0</v>
      </c>
      <c r="C2" s="13" t="s">
        <v>0</v>
      </c>
      <c r="D2" s="13" t="s">
        <v>0</v>
      </c>
      <c r="E2" s="10" t="s">
        <v>3</v>
      </c>
      <c r="F2" s="2">
        <v>153</v>
      </c>
      <c r="G2" s="2" t="s">
        <v>0</v>
      </c>
      <c r="H2" s="10" t="s">
        <v>46</v>
      </c>
      <c r="I2" s="5">
        <f>I15</f>
        <v>2100</v>
      </c>
      <c r="J2" s="2" t="s">
        <v>0</v>
      </c>
    </row>
    <row r="3" spans="1:13">
      <c r="A3" s="13" t="s">
        <v>44</v>
      </c>
      <c r="B3" s="13" t="s">
        <v>0</v>
      </c>
      <c r="C3" s="13" t="s">
        <v>0</v>
      </c>
      <c r="D3" s="13" t="s">
        <v>0</v>
      </c>
      <c r="E3" s="10" t="s">
        <v>4</v>
      </c>
      <c r="F3" s="2">
        <f>F1/F2</f>
        <v>1.0130718954248366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</row>
    <row r="4" spans="1:13">
      <c r="A4" s="13" t="s">
        <v>45</v>
      </c>
      <c r="B4" s="13" t="s">
        <v>0</v>
      </c>
      <c r="C4" s="13" t="s">
        <v>0</v>
      </c>
      <c r="D4" s="13" t="s">
        <v>0</v>
      </c>
      <c r="E4" s="10" t="s">
        <v>5</v>
      </c>
      <c r="F4" s="2">
        <v>120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</row>
    <row r="5" spans="1:13">
      <c r="A5" s="6"/>
      <c r="B5" s="6"/>
      <c r="C5" s="6"/>
      <c r="D5" s="6"/>
      <c r="E5" s="10" t="s">
        <v>6</v>
      </c>
      <c r="F5" s="2">
        <f>F4*F3</f>
        <v>121.56862745098039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</row>
    <row r="6" spans="1:13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3" t="s">
        <v>0</v>
      </c>
    </row>
    <row r="7" spans="1:13" s="12" customFormat="1" ht="42.75">
      <c r="A7" s="10" t="s">
        <v>7</v>
      </c>
      <c r="B7" s="10" t="s">
        <v>8</v>
      </c>
      <c r="C7" s="10" t="s">
        <v>9</v>
      </c>
      <c r="D7" s="11" t="s">
        <v>40</v>
      </c>
      <c r="E7" s="10" t="s">
        <v>10</v>
      </c>
      <c r="F7" s="10" t="s">
        <v>11</v>
      </c>
      <c r="G7" s="11" t="s">
        <v>41</v>
      </c>
      <c r="H7" s="11" t="s">
        <v>42</v>
      </c>
      <c r="I7" s="10" t="s">
        <v>12</v>
      </c>
      <c r="J7" s="10" t="s">
        <v>13</v>
      </c>
      <c r="K7" s="10" t="s">
        <v>14</v>
      </c>
      <c r="L7" s="10" t="s">
        <v>48</v>
      </c>
      <c r="M7" s="12" t="s">
        <v>56</v>
      </c>
    </row>
    <row r="8" spans="1:13">
      <c r="A8" s="2" t="s">
        <v>15</v>
      </c>
      <c r="B8" s="2" t="s">
        <v>16</v>
      </c>
      <c r="C8" s="2" t="s">
        <v>17</v>
      </c>
      <c r="D8" s="2">
        <v>19</v>
      </c>
      <c r="E8" s="4">
        <v>0.12258064516129032</v>
      </c>
      <c r="F8" s="2">
        <v>0</v>
      </c>
      <c r="G8" s="2">
        <f>INT(F$5*E8)</f>
        <v>14</v>
      </c>
      <c r="H8" s="2">
        <f>G8-F8</f>
        <v>14</v>
      </c>
      <c r="I8" s="10">
        <v>260</v>
      </c>
      <c r="J8" s="2" t="s">
        <v>18</v>
      </c>
      <c r="K8" s="2" t="s">
        <v>19</v>
      </c>
      <c r="L8" s="4">
        <f>I8/I$15</f>
        <v>0.12380952380952381</v>
      </c>
      <c r="M8" s="17">
        <f>L8-E8</f>
        <v>1.2288786482334974E-3</v>
      </c>
    </row>
    <row r="9" spans="1:13">
      <c r="A9" s="2" t="s">
        <v>15</v>
      </c>
      <c r="B9" s="2" t="s">
        <v>20</v>
      </c>
      <c r="C9" s="2" t="s">
        <v>17</v>
      </c>
      <c r="D9" s="2">
        <v>19</v>
      </c>
      <c r="E9" s="4">
        <v>0.12258064516129032</v>
      </c>
      <c r="F9" s="2">
        <v>0</v>
      </c>
      <c r="G9" s="2">
        <f t="shared" ref="G9:G14" si="0">INT(F$5*E9)</f>
        <v>14</v>
      </c>
      <c r="H9" s="2">
        <f t="shared" ref="H9:H14" si="1">G9-F9</f>
        <v>14</v>
      </c>
      <c r="I9" s="10">
        <v>260</v>
      </c>
      <c r="J9" s="2" t="s">
        <v>18</v>
      </c>
      <c r="K9" s="2" t="s">
        <v>19</v>
      </c>
      <c r="L9" s="4">
        <f t="shared" ref="L9:L14" si="2">I9/I$15</f>
        <v>0.12380952380952381</v>
      </c>
      <c r="M9" s="17">
        <f t="shared" ref="M9:M14" si="3">L9-E9</f>
        <v>1.2288786482334974E-3</v>
      </c>
    </row>
    <row r="10" spans="1:13">
      <c r="A10" s="2" t="s">
        <v>15</v>
      </c>
      <c r="B10" s="2" t="s">
        <v>21</v>
      </c>
      <c r="C10" s="2" t="s">
        <v>17</v>
      </c>
      <c r="D10" s="2">
        <v>18</v>
      </c>
      <c r="E10" s="4">
        <v>0.11612903225806452</v>
      </c>
      <c r="F10" s="2">
        <v>0</v>
      </c>
      <c r="G10" s="2">
        <f t="shared" si="0"/>
        <v>14</v>
      </c>
      <c r="H10" s="2">
        <f t="shared" si="1"/>
        <v>14</v>
      </c>
      <c r="I10" s="10">
        <v>250</v>
      </c>
      <c r="J10" s="2" t="s">
        <v>18</v>
      </c>
      <c r="K10" s="2" t="s">
        <v>19</v>
      </c>
      <c r="L10" s="4">
        <f t="shared" si="2"/>
        <v>0.11904761904761904</v>
      </c>
      <c r="M10" s="17">
        <f t="shared" si="3"/>
        <v>2.9185867895545198E-3</v>
      </c>
    </row>
    <row r="11" spans="1:13">
      <c r="A11" s="2" t="s">
        <v>15</v>
      </c>
      <c r="B11" s="2" t="s">
        <v>22</v>
      </c>
      <c r="C11" s="2" t="s">
        <v>17</v>
      </c>
      <c r="D11" s="2">
        <v>17</v>
      </c>
      <c r="E11" s="4">
        <v>0.10967741935483871</v>
      </c>
      <c r="F11" s="2">
        <v>0</v>
      </c>
      <c r="G11" s="2">
        <f t="shared" si="0"/>
        <v>13</v>
      </c>
      <c r="H11" s="2">
        <f t="shared" si="1"/>
        <v>13</v>
      </c>
      <c r="I11" s="10">
        <v>230</v>
      </c>
      <c r="J11" s="2" t="s">
        <v>18</v>
      </c>
      <c r="K11" s="2" t="s">
        <v>19</v>
      </c>
      <c r="L11" s="4">
        <f t="shared" si="2"/>
        <v>0.10952380952380952</v>
      </c>
      <c r="M11" s="17">
        <f t="shared" si="3"/>
        <v>-1.536098310291889E-4</v>
      </c>
    </row>
    <row r="12" spans="1:13">
      <c r="A12" s="2" t="s">
        <v>15</v>
      </c>
      <c r="B12" s="2" t="s">
        <v>23</v>
      </c>
      <c r="C12" s="2" t="s">
        <v>17</v>
      </c>
      <c r="D12" s="2">
        <v>47</v>
      </c>
      <c r="E12" s="4">
        <v>0.3032258064516129</v>
      </c>
      <c r="F12" s="2">
        <v>0</v>
      </c>
      <c r="G12" s="2">
        <f t="shared" si="0"/>
        <v>36</v>
      </c>
      <c r="H12" s="2">
        <f t="shared" si="1"/>
        <v>36</v>
      </c>
      <c r="I12" s="10">
        <v>630</v>
      </c>
      <c r="J12" s="2" t="s">
        <v>18</v>
      </c>
      <c r="K12" s="2" t="s">
        <v>19</v>
      </c>
      <c r="L12" s="4">
        <f t="shared" si="2"/>
        <v>0.3</v>
      </c>
      <c r="M12" s="17">
        <f t="shared" si="3"/>
        <v>-3.2258064516129115E-3</v>
      </c>
    </row>
    <row r="13" spans="1:13">
      <c r="A13" s="2" t="s">
        <v>15</v>
      </c>
      <c r="B13" s="2" t="s">
        <v>24</v>
      </c>
      <c r="C13" s="2" t="s">
        <v>17</v>
      </c>
      <c r="D13" s="2">
        <v>5</v>
      </c>
      <c r="E13" s="4">
        <v>3.2258064516129031E-2</v>
      </c>
      <c r="F13" s="2">
        <v>0</v>
      </c>
      <c r="G13" s="2">
        <f t="shared" si="0"/>
        <v>3</v>
      </c>
      <c r="H13" s="2">
        <f t="shared" si="1"/>
        <v>3</v>
      </c>
      <c r="I13" s="10">
        <v>70</v>
      </c>
      <c r="J13" s="2" t="s">
        <v>18</v>
      </c>
      <c r="K13" s="2" t="s">
        <v>19</v>
      </c>
      <c r="L13" s="4">
        <f t="shared" si="2"/>
        <v>3.3333333333333333E-2</v>
      </c>
      <c r="M13" s="17">
        <f t="shared" si="3"/>
        <v>1.0752688172043015E-3</v>
      </c>
    </row>
    <row r="14" spans="1:13">
      <c r="A14" s="2" t="s">
        <v>15</v>
      </c>
      <c r="B14" s="2" t="s">
        <v>25</v>
      </c>
      <c r="C14" s="2" t="s">
        <v>17</v>
      </c>
      <c r="D14" s="2">
        <v>30</v>
      </c>
      <c r="E14" s="4">
        <v>0.19354838709677419</v>
      </c>
      <c r="F14" s="2">
        <v>0</v>
      </c>
      <c r="G14" s="2">
        <f t="shared" si="0"/>
        <v>23</v>
      </c>
      <c r="H14" s="2">
        <f t="shared" si="1"/>
        <v>23</v>
      </c>
      <c r="I14" s="10">
        <v>400</v>
      </c>
      <c r="J14" s="2" t="s">
        <v>18</v>
      </c>
      <c r="K14" s="2" t="s">
        <v>19</v>
      </c>
      <c r="L14" s="4">
        <f t="shared" si="2"/>
        <v>0.19047619047619047</v>
      </c>
      <c r="M14" s="17">
        <f t="shared" si="3"/>
        <v>-3.0721966205837226E-3</v>
      </c>
    </row>
    <row r="15" spans="1:13" s="12" customFormat="1">
      <c r="A15" s="10" t="s">
        <v>26</v>
      </c>
      <c r="B15" s="10" t="s">
        <v>0</v>
      </c>
      <c r="C15" s="10" t="s">
        <v>0</v>
      </c>
      <c r="D15" s="15">
        <f t="shared" ref="D15:I15" si="4">SUM(D8:D14)</f>
        <v>155</v>
      </c>
      <c r="E15" s="16">
        <f t="shared" si="4"/>
        <v>1</v>
      </c>
      <c r="F15" s="15">
        <f t="shared" si="4"/>
        <v>0</v>
      </c>
      <c r="G15" s="15">
        <f t="shared" si="4"/>
        <v>117</v>
      </c>
      <c r="H15" s="15">
        <f t="shared" si="4"/>
        <v>117</v>
      </c>
      <c r="I15" s="15">
        <f t="shared" si="4"/>
        <v>2100</v>
      </c>
      <c r="J15" s="10" t="s">
        <v>0</v>
      </c>
      <c r="K15" s="10" t="s">
        <v>0</v>
      </c>
      <c r="L15" s="16">
        <f>SUM(L8:L14)</f>
        <v>1</v>
      </c>
      <c r="M15" s="18">
        <f>AVERAGE(M8:M14)</f>
        <v>-9.9127055770103257E-19</v>
      </c>
    </row>
  </sheetData>
  <mergeCells count="5">
    <mergeCell ref="A1:C1"/>
    <mergeCell ref="A2:D2"/>
    <mergeCell ref="A3:D3"/>
    <mergeCell ref="A4:D4"/>
    <mergeCell ref="A5:D5"/>
  </mergeCells>
  <phoneticPr fontId="2" type="noConversion"/>
  <pageMargins left="0.7" right="0.7" top="0.75" bottom="0.75" header="0.3" footer="0.3"/>
  <ignoredErrors>
    <ignoredError sqref="A1 B6:L6 B8:E14 B7:C7 E7 B1:E2 A6:A15 E5 E3:E4 B15:C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I13"/>
  <sheetViews>
    <sheetView workbookViewId="0">
      <selection activeCell="EY20" sqref="EY20"/>
    </sheetView>
  </sheetViews>
  <sheetFormatPr defaultColWidth="3.625" defaultRowHeight="14.25" outlineLevelCol="1"/>
  <cols>
    <col min="1" max="1" width="11.625" style="1" bestFit="1" customWidth="1"/>
    <col min="2" max="3" width="5.5" style="1" bestFit="1" customWidth="1"/>
    <col min="4" max="4" width="5.5" style="7" customWidth="1"/>
    <col min="5" max="34" width="3.625" style="1" outlineLevel="1"/>
    <col min="35" max="35" width="5.5" style="7" bestFit="1" customWidth="1"/>
    <col min="36" max="66" width="3.625" style="1" outlineLevel="1"/>
    <col min="67" max="67" width="5.5" style="7" bestFit="1" customWidth="1"/>
    <col min="68" max="97" width="3.625" style="1"/>
    <col min="98" max="98" width="5.5" style="7" bestFit="1" customWidth="1"/>
    <col min="99" max="129" width="3.625" style="1" outlineLevel="1"/>
    <col min="130" max="130" width="3.625" style="7"/>
    <col min="131" max="161" width="3.625" style="1" outlineLevel="1"/>
    <col min="162" max="162" width="5.125" style="7" bestFit="1" customWidth="1"/>
    <col min="163" max="163" width="4.5" style="7" bestFit="1" customWidth="1"/>
    <col min="164" max="164" width="12.75" style="7" bestFit="1" customWidth="1"/>
    <col min="165" max="165" width="5.5" style="7" bestFit="1" customWidth="1"/>
    <col min="166" max="16384" width="3.625" style="1"/>
  </cols>
  <sheetData>
    <row r="1" spans="1:165" s="7" customFormat="1">
      <c r="A1" s="9" t="s">
        <v>27</v>
      </c>
      <c r="B1" s="9" t="s">
        <v>0</v>
      </c>
      <c r="C1" s="9" t="s">
        <v>0</v>
      </c>
      <c r="D1" s="9"/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  <c r="L1" s="9" t="s">
        <v>0</v>
      </c>
      <c r="M1" s="9" t="s">
        <v>0</v>
      </c>
      <c r="N1" s="9" t="s">
        <v>0</v>
      </c>
      <c r="O1" s="9" t="s">
        <v>0</v>
      </c>
      <c r="P1" s="9" t="s">
        <v>0</v>
      </c>
      <c r="Q1" s="9" t="s">
        <v>0</v>
      </c>
      <c r="R1" s="9" t="s">
        <v>0</v>
      </c>
      <c r="S1" s="9" t="s">
        <v>0</v>
      </c>
      <c r="T1" s="9" t="s">
        <v>0</v>
      </c>
      <c r="U1" s="9" t="s">
        <v>0</v>
      </c>
      <c r="V1" s="9" t="s">
        <v>0</v>
      </c>
      <c r="W1" s="9" t="s">
        <v>0</v>
      </c>
      <c r="X1" s="9" t="s">
        <v>0</v>
      </c>
      <c r="Y1" s="9" t="s">
        <v>0</v>
      </c>
      <c r="Z1" s="9" t="s">
        <v>0</v>
      </c>
      <c r="AA1" s="9" t="s">
        <v>0</v>
      </c>
      <c r="AB1" s="9" t="s">
        <v>0</v>
      </c>
      <c r="AC1" s="9" t="s">
        <v>0</v>
      </c>
      <c r="AD1" s="9" t="s">
        <v>0</v>
      </c>
      <c r="AE1" s="9" t="s">
        <v>0</v>
      </c>
      <c r="AF1" s="9" t="s">
        <v>0</v>
      </c>
      <c r="AG1" s="9" t="s">
        <v>0</v>
      </c>
      <c r="AH1" s="9" t="s">
        <v>0</v>
      </c>
      <c r="AI1" s="9"/>
      <c r="AJ1" s="9" t="s">
        <v>0</v>
      </c>
      <c r="AK1" s="9" t="s">
        <v>0</v>
      </c>
      <c r="AL1" s="9" t="s">
        <v>0</v>
      </c>
      <c r="AM1" s="9" t="s">
        <v>0</v>
      </c>
      <c r="AN1" s="9" t="s">
        <v>0</v>
      </c>
      <c r="AO1" s="9" t="s">
        <v>0</v>
      </c>
      <c r="AP1" s="9" t="s">
        <v>0</v>
      </c>
      <c r="AQ1" s="9" t="s">
        <v>0</v>
      </c>
      <c r="AR1" s="9" t="s">
        <v>0</v>
      </c>
      <c r="AS1" s="9" t="s">
        <v>0</v>
      </c>
      <c r="AT1" s="9" t="s">
        <v>0</v>
      </c>
      <c r="AU1" s="9" t="s">
        <v>0</v>
      </c>
      <c r="AV1" s="9" t="s">
        <v>0</v>
      </c>
      <c r="AW1" s="9" t="s">
        <v>0</v>
      </c>
      <c r="AX1" s="9" t="s">
        <v>0</v>
      </c>
      <c r="AY1" s="9" t="s">
        <v>0</v>
      </c>
      <c r="AZ1" s="9" t="s">
        <v>0</v>
      </c>
      <c r="BA1" s="9" t="s">
        <v>0</v>
      </c>
      <c r="BB1" s="9" t="s">
        <v>0</v>
      </c>
      <c r="BC1" s="9" t="s">
        <v>0</v>
      </c>
      <c r="BD1" s="9" t="s">
        <v>0</v>
      </c>
      <c r="BE1" s="9" t="s">
        <v>0</v>
      </c>
      <c r="BF1" s="9" t="s">
        <v>0</v>
      </c>
      <c r="BG1" s="9" t="s">
        <v>0</v>
      </c>
      <c r="BH1" s="9" t="s">
        <v>0</v>
      </c>
      <c r="BI1" s="9" t="s">
        <v>0</v>
      </c>
      <c r="BJ1" s="9" t="s">
        <v>0</v>
      </c>
      <c r="BK1" s="9" t="s">
        <v>0</v>
      </c>
      <c r="BL1" s="9" t="s">
        <v>0</v>
      </c>
      <c r="BM1" s="9" t="s">
        <v>0</v>
      </c>
      <c r="BN1" s="9" t="s">
        <v>0</v>
      </c>
      <c r="BO1" s="9"/>
      <c r="BP1" s="9" t="s">
        <v>0</v>
      </c>
      <c r="BQ1" s="9" t="s">
        <v>0</v>
      </c>
      <c r="BR1" s="9" t="s">
        <v>0</v>
      </c>
      <c r="BS1" s="9" t="s">
        <v>0</v>
      </c>
      <c r="BT1" s="9" t="s">
        <v>0</v>
      </c>
      <c r="BU1" s="9" t="s">
        <v>0</v>
      </c>
      <c r="BV1" s="9" t="s">
        <v>0</v>
      </c>
      <c r="BW1" s="9" t="s">
        <v>0</v>
      </c>
      <c r="BX1" s="9" t="s">
        <v>0</v>
      </c>
      <c r="BY1" s="9" t="s">
        <v>0</v>
      </c>
      <c r="BZ1" s="9" t="s">
        <v>0</v>
      </c>
      <c r="CA1" s="9" t="s">
        <v>0</v>
      </c>
      <c r="CB1" s="9" t="s">
        <v>0</v>
      </c>
      <c r="CC1" s="9" t="s">
        <v>0</v>
      </c>
      <c r="CD1" s="9" t="s">
        <v>0</v>
      </c>
      <c r="CE1" s="9" t="s">
        <v>0</v>
      </c>
      <c r="CF1" s="9" t="s">
        <v>0</v>
      </c>
      <c r="CG1" s="9" t="s">
        <v>0</v>
      </c>
      <c r="CH1" s="9" t="s">
        <v>0</v>
      </c>
      <c r="CI1" s="9" t="s">
        <v>0</v>
      </c>
      <c r="CJ1" s="9" t="s">
        <v>0</v>
      </c>
      <c r="CK1" s="9" t="s">
        <v>0</v>
      </c>
      <c r="CL1" s="9" t="s">
        <v>0</v>
      </c>
      <c r="CM1" s="9" t="s">
        <v>0</v>
      </c>
      <c r="CN1" s="9" t="s">
        <v>0</v>
      </c>
      <c r="CO1" s="9" t="s">
        <v>0</v>
      </c>
      <c r="CP1" s="9" t="s">
        <v>0</v>
      </c>
      <c r="CQ1" s="9" t="s">
        <v>0</v>
      </c>
      <c r="CR1" s="9" t="s">
        <v>0</v>
      </c>
      <c r="CS1" s="9" t="s">
        <v>0</v>
      </c>
      <c r="CT1" s="9"/>
      <c r="CU1" s="9" t="s">
        <v>0</v>
      </c>
      <c r="CV1" s="9" t="s">
        <v>0</v>
      </c>
      <c r="CW1" s="9" t="s">
        <v>0</v>
      </c>
      <c r="CX1" s="9" t="s">
        <v>0</v>
      </c>
      <c r="CY1" s="9" t="s">
        <v>0</v>
      </c>
      <c r="CZ1" s="9" t="s">
        <v>0</v>
      </c>
      <c r="DA1" s="9" t="s">
        <v>0</v>
      </c>
      <c r="DB1" s="9" t="s">
        <v>0</v>
      </c>
      <c r="DC1" s="9" t="s">
        <v>0</v>
      </c>
      <c r="DD1" s="9" t="s">
        <v>0</v>
      </c>
      <c r="DE1" s="9" t="s">
        <v>0</v>
      </c>
      <c r="DF1" s="9" t="s">
        <v>0</v>
      </c>
      <c r="DG1" s="9" t="s">
        <v>0</v>
      </c>
      <c r="DH1" s="9" t="s">
        <v>0</v>
      </c>
      <c r="DI1" s="9" t="s">
        <v>0</v>
      </c>
      <c r="DJ1" s="9" t="s">
        <v>0</v>
      </c>
      <c r="DK1" s="9" t="s">
        <v>0</v>
      </c>
      <c r="DL1" s="9" t="s">
        <v>0</v>
      </c>
      <c r="DM1" s="9" t="s">
        <v>0</v>
      </c>
      <c r="DN1" s="9" t="s">
        <v>0</v>
      </c>
      <c r="DO1" s="9" t="s">
        <v>0</v>
      </c>
      <c r="DP1" s="9" t="s">
        <v>0</v>
      </c>
      <c r="DQ1" s="9" t="s">
        <v>0</v>
      </c>
      <c r="DR1" s="9" t="s">
        <v>0</v>
      </c>
      <c r="DS1" s="9" t="s">
        <v>0</v>
      </c>
      <c r="DT1" s="9" t="s">
        <v>0</v>
      </c>
      <c r="DU1" s="9" t="s">
        <v>0</v>
      </c>
      <c r="DV1" s="9" t="s">
        <v>0</v>
      </c>
      <c r="DW1" s="9" t="s">
        <v>0</v>
      </c>
      <c r="DX1" s="9" t="s">
        <v>0</v>
      </c>
      <c r="DY1" s="9" t="s">
        <v>0</v>
      </c>
      <c r="DZ1" s="9"/>
      <c r="EA1" s="9" t="s">
        <v>0</v>
      </c>
      <c r="EB1" s="9" t="s">
        <v>0</v>
      </c>
      <c r="EC1" s="9" t="s">
        <v>0</v>
      </c>
      <c r="ED1" s="9" t="s">
        <v>0</v>
      </c>
      <c r="EE1" s="9" t="s">
        <v>0</v>
      </c>
      <c r="EF1" s="9" t="s">
        <v>0</v>
      </c>
      <c r="EG1" s="9" t="s">
        <v>0</v>
      </c>
      <c r="EH1" s="9" t="s">
        <v>0</v>
      </c>
      <c r="EI1" s="9" t="s">
        <v>0</v>
      </c>
      <c r="EJ1" s="9" t="s">
        <v>0</v>
      </c>
      <c r="EK1" s="9" t="s">
        <v>0</v>
      </c>
      <c r="EL1" s="9" t="s">
        <v>0</v>
      </c>
      <c r="EM1" s="9" t="s">
        <v>0</v>
      </c>
      <c r="EN1" s="9" t="s">
        <v>0</v>
      </c>
      <c r="EO1" s="9" t="s">
        <v>0</v>
      </c>
      <c r="EP1" s="9" t="s">
        <v>0</v>
      </c>
      <c r="EQ1" s="9" t="s">
        <v>0</v>
      </c>
      <c r="ER1" s="9" t="s">
        <v>0</v>
      </c>
      <c r="ES1" s="9" t="s">
        <v>0</v>
      </c>
      <c r="ET1" s="9" t="s">
        <v>0</v>
      </c>
      <c r="EU1" s="9" t="s">
        <v>0</v>
      </c>
      <c r="EV1" s="9" t="s">
        <v>0</v>
      </c>
      <c r="EW1" s="9" t="s">
        <v>0</v>
      </c>
      <c r="EX1" s="9" t="s">
        <v>0</v>
      </c>
      <c r="EY1" s="9" t="s">
        <v>0</v>
      </c>
      <c r="EZ1" s="9" t="s">
        <v>0</v>
      </c>
      <c r="FA1" s="9" t="s">
        <v>0</v>
      </c>
      <c r="FB1" s="9" t="s">
        <v>0</v>
      </c>
      <c r="FC1" s="9" t="s">
        <v>0</v>
      </c>
      <c r="FD1" s="9" t="s">
        <v>0</v>
      </c>
      <c r="FE1" s="9" t="s">
        <v>0</v>
      </c>
      <c r="FF1" s="9" t="s">
        <v>0</v>
      </c>
      <c r="FG1" s="9" t="s">
        <v>0</v>
      </c>
      <c r="FH1" s="9" t="s">
        <v>0</v>
      </c>
      <c r="FI1" s="9" t="s">
        <v>0</v>
      </c>
    </row>
    <row r="2" spans="1:165" s="7" customFormat="1">
      <c r="A2" s="9" t="s">
        <v>28</v>
      </c>
      <c r="B2" s="9" t="s">
        <v>0</v>
      </c>
      <c r="C2" s="9" t="s">
        <v>0</v>
      </c>
      <c r="D2" s="9"/>
      <c r="E2" s="9" t="s">
        <v>0</v>
      </c>
      <c r="F2" s="9" t="s">
        <v>0</v>
      </c>
      <c r="G2" s="9" t="s">
        <v>0</v>
      </c>
      <c r="H2" s="9" t="s">
        <v>0</v>
      </c>
      <c r="I2" s="9" t="s">
        <v>0</v>
      </c>
      <c r="J2" s="9" t="s">
        <v>0</v>
      </c>
      <c r="K2" s="9" t="s">
        <v>0</v>
      </c>
      <c r="L2" s="9" t="s">
        <v>0</v>
      </c>
      <c r="M2" s="9" t="s">
        <v>0</v>
      </c>
      <c r="N2" s="9" t="s">
        <v>0</v>
      </c>
      <c r="O2" s="9" t="s">
        <v>0</v>
      </c>
      <c r="P2" s="9" t="s">
        <v>0</v>
      </c>
      <c r="Q2" s="9" t="s">
        <v>0</v>
      </c>
      <c r="R2" s="9" t="s">
        <v>0</v>
      </c>
      <c r="S2" s="9" t="s">
        <v>0</v>
      </c>
      <c r="T2" s="9" t="s">
        <v>0</v>
      </c>
      <c r="U2" s="9" t="s">
        <v>0</v>
      </c>
      <c r="V2" s="9" t="s">
        <v>0</v>
      </c>
      <c r="W2" s="9" t="s">
        <v>0</v>
      </c>
      <c r="X2" s="9" t="s">
        <v>0</v>
      </c>
      <c r="Y2" s="9" t="s">
        <v>0</v>
      </c>
      <c r="Z2" s="9" t="s">
        <v>0</v>
      </c>
      <c r="AA2" s="9" t="s">
        <v>0</v>
      </c>
      <c r="AB2" s="9" t="s">
        <v>0</v>
      </c>
      <c r="AC2" s="9" t="s">
        <v>0</v>
      </c>
      <c r="AD2" s="9" t="s">
        <v>0</v>
      </c>
      <c r="AE2" s="9" t="s">
        <v>0</v>
      </c>
      <c r="AF2" s="9" t="s">
        <v>0</v>
      </c>
      <c r="AG2" s="9" t="s">
        <v>0</v>
      </c>
      <c r="AH2" s="9" t="s">
        <v>0</v>
      </c>
      <c r="AI2" s="9"/>
      <c r="AJ2" s="9" t="s">
        <v>0</v>
      </c>
      <c r="AK2" s="9" t="s">
        <v>0</v>
      </c>
      <c r="AL2" s="9" t="s">
        <v>0</v>
      </c>
      <c r="AM2" s="9" t="s">
        <v>0</v>
      </c>
      <c r="AN2" s="9" t="s">
        <v>0</v>
      </c>
      <c r="AO2" s="9" t="s">
        <v>0</v>
      </c>
      <c r="AP2" s="9" t="s">
        <v>0</v>
      </c>
      <c r="AQ2" s="9" t="s">
        <v>0</v>
      </c>
      <c r="AR2" s="9" t="s">
        <v>0</v>
      </c>
      <c r="AS2" s="9" t="s">
        <v>0</v>
      </c>
      <c r="AT2" s="9" t="s">
        <v>0</v>
      </c>
      <c r="AU2" s="9" t="s">
        <v>0</v>
      </c>
      <c r="AV2" s="9" t="s">
        <v>0</v>
      </c>
      <c r="AW2" s="9" t="s">
        <v>0</v>
      </c>
      <c r="AX2" s="9" t="s">
        <v>0</v>
      </c>
      <c r="AY2" s="9" t="s">
        <v>0</v>
      </c>
      <c r="AZ2" s="9" t="s">
        <v>0</v>
      </c>
      <c r="BA2" s="9" t="s">
        <v>0</v>
      </c>
      <c r="BB2" s="9" t="s">
        <v>0</v>
      </c>
      <c r="BC2" s="9" t="s">
        <v>0</v>
      </c>
      <c r="BD2" s="9" t="s">
        <v>0</v>
      </c>
      <c r="BE2" s="9" t="s">
        <v>0</v>
      </c>
      <c r="BF2" s="9" t="s">
        <v>0</v>
      </c>
      <c r="BG2" s="9" t="s">
        <v>0</v>
      </c>
      <c r="BH2" s="9" t="s">
        <v>0</v>
      </c>
      <c r="BI2" s="9" t="s">
        <v>0</v>
      </c>
      <c r="BJ2" s="9" t="s">
        <v>0</v>
      </c>
      <c r="BK2" s="9" t="s">
        <v>0</v>
      </c>
      <c r="BL2" s="9" t="s">
        <v>0</v>
      </c>
      <c r="BM2" s="9" t="s">
        <v>0</v>
      </c>
      <c r="BN2" s="9" t="s">
        <v>0</v>
      </c>
      <c r="BO2" s="9"/>
      <c r="BP2" s="9" t="s">
        <v>0</v>
      </c>
      <c r="BQ2" s="9" t="s">
        <v>0</v>
      </c>
      <c r="BR2" s="9" t="s">
        <v>0</v>
      </c>
      <c r="BS2" s="9" t="s">
        <v>0</v>
      </c>
      <c r="BT2" s="9" t="s">
        <v>0</v>
      </c>
      <c r="BU2" s="9" t="s">
        <v>0</v>
      </c>
      <c r="BV2" s="9" t="s">
        <v>0</v>
      </c>
      <c r="BW2" s="9" t="s">
        <v>0</v>
      </c>
      <c r="BX2" s="9" t="s">
        <v>0</v>
      </c>
      <c r="BY2" s="9" t="s">
        <v>0</v>
      </c>
      <c r="BZ2" s="9" t="s">
        <v>0</v>
      </c>
      <c r="CA2" s="9" t="s">
        <v>0</v>
      </c>
      <c r="CB2" s="9" t="s">
        <v>0</v>
      </c>
      <c r="CC2" s="9" t="s">
        <v>0</v>
      </c>
      <c r="CD2" s="9" t="s">
        <v>0</v>
      </c>
      <c r="CE2" s="9" t="s">
        <v>0</v>
      </c>
      <c r="CF2" s="9" t="s">
        <v>0</v>
      </c>
      <c r="CG2" s="9" t="s">
        <v>0</v>
      </c>
      <c r="CH2" s="9" t="s">
        <v>0</v>
      </c>
      <c r="CI2" s="9" t="s">
        <v>0</v>
      </c>
      <c r="CJ2" s="9" t="s">
        <v>0</v>
      </c>
      <c r="CK2" s="9" t="s">
        <v>0</v>
      </c>
      <c r="CL2" s="9" t="s">
        <v>0</v>
      </c>
      <c r="CM2" s="9" t="s">
        <v>0</v>
      </c>
      <c r="CN2" s="9" t="s">
        <v>0</v>
      </c>
      <c r="CO2" s="9" t="s">
        <v>0</v>
      </c>
      <c r="CP2" s="9" t="s">
        <v>0</v>
      </c>
      <c r="CQ2" s="9" t="s">
        <v>0</v>
      </c>
      <c r="CR2" s="9" t="s">
        <v>0</v>
      </c>
      <c r="CS2" s="9" t="s">
        <v>0</v>
      </c>
      <c r="CT2" s="9"/>
      <c r="CU2" s="9" t="s">
        <v>0</v>
      </c>
      <c r="CV2" s="9" t="s">
        <v>0</v>
      </c>
      <c r="CW2" s="9" t="s">
        <v>0</v>
      </c>
      <c r="CX2" s="9" t="s">
        <v>0</v>
      </c>
      <c r="CY2" s="9" t="s">
        <v>0</v>
      </c>
      <c r="CZ2" s="9" t="s">
        <v>0</v>
      </c>
      <c r="DA2" s="9" t="s">
        <v>0</v>
      </c>
      <c r="DB2" s="9" t="s">
        <v>0</v>
      </c>
      <c r="DC2" s="9" t="s">
        <v>0</v>
      </c>
      <c r="DD2" s="9" t="s">
        <v>0</v>
      </c>
      <c r="DE2" s="9" t="s">
        <v>0</v>
      </c>
      <c r="DF2" s="9" t="s">
        <v>0</v>
      </c>
      <c r="DG2" s="9" t="s">
        <v>0</v>
      </c>
      <c r="DH2" s="9" t="s">
        <v>0</v>
      </c>
      <c r="DI2" s="9" t="s">
        <v>0</v>
      </c>
      <c r="DJ2" s="9" t="s">
        <v>0</v>
      </c>
      <c r="DK2" s="9" t="s">
        <v>0</v>
      </c>
      <c r="DL2" s="9" t="s">
        <v>0</v>
      </c>
      <c r="DM2" s="9" t="s">
        <v>0</v>
      </c>
      <c r="DN2" s="9" t="s">
        <v>0</v>
      </c>
      <c r="DO2" s="9" t="s">
        <v>0</v>
      </c>
      <c r="DP2" s="9" t="s">
        <v>0</v>
      </c>
      <c r="DQ2" s="9" t="s">
        <v>0</v>
      </c>
      <c r="DR2" s="9" t="s">
        <v>0</v>
      </c>
      <c r="DS2" s="9" t="s">
        <v>0</v>
      </c>
      <c r="DT2" s="9" t="s">
        <v>0</v>
      </c>
      <c r="DU2" s="9" t="s">
        <v>0</v>
      </c>
      <c r="DV2" s="9" t="s">
        <v>0</v>
      </c>
      <c r="DW2" s="9" t="s">
        <v>0</v>
      </c>
      <c r="DX2" s="9" t="s">
        <v>0</v>
      </c>
      <c r="DY2" s="9" t="s">
        <v>0</v>
      </c>
      <c r="DZ2" s="9"/>
      <c r="EA2" s="9" t="s">
        <v>0</v>
      </c>
      <c r="EB2" s="9" t="s">
        <v>0</v>
      </c>
      <c r="EC2" s="9" t="s">
        <v>0</v>
      </c>
      <c r="ED2" s="9" t="s">
        <v>0</v>
      </c>
      <c r="EE2" s="9" t="s">
        <v>0</v>
      </c>
      <c r="EF2" s="9" t="s">
        <v>0</v>
      </c>
      <c r="EG2" s="9" t="s">
        <v>0</v>
      </c>
      <c r="EH2" s="9" t="s">
        <v>0</v>
      </c>
      <c r="EI2" s="9" t="s">
        <v>0</v>
      </c>
      <c r="EJ2" s="9" t="s">
        <v>0</v>
      </c>
      <c r="EK2" s="9" t="s">
        <v>0</v>
      </c>
      <c r="EL2" s="9" t="s">
        <v>0</v>
      </c>
      <c r="EM2" s="9" t="s">
        <v>0</v>
      </c>
      <c r="EN2" s="9" t="s">
        <v>0</v>
      </c>
      <c r="EO2" s="9" t="s">
        <v>0</v>
      </c>
      <c r="EP2" s="9" t="s">
        <v>0</v>
      </c>
      <c r="EQ2" s="9" t="s">
        <v>0</v>
      </c>
      <c r="ER2" s="9" t="s">
        <v>0</v>
      </c>
      <c r="ES2" s="9" t="s">
        <v>0</v>
      </c>
      <c r="ET2" s="9" t="s">
        <v>0</v>
      </c>
      <c r="EU2" s="9" t="s">
        <v>0</v>
      </c>
      <c r="EV2" s="9" t="s">
        <v>0</v>
      </c>
      <c r="EW2" s="9" t="s">
        <v>0</v>
      </c>
      <c r="EX2" s="9" t="s">
        <v>0</v>
      </c>
      <c r="EY2" s="9" t="s">
        <v>0</v>
      </c>
      <c r="EZ2" s="9" t="s">
        <v>0</v>
      </c>
      <c r="FA2" s="9" t="s">
        <v>0</v>
      </c>
      <c r="FB2" s="9" t="s">
        <v>0</v>
      </c>
      <c r="FC2" s="9" t="s">
        <v>0</v>
      </c>
      <c r="FD2" s="9" t="s">
        <v>0</v>
      </c>
      <c r="FE2" s="9" t="s">
        <v>0</v>
      </c>
      <c r="FF2" s="9" t="s">
        <v>0</v>
      </c>
      <c r="FG2" s="9" t="s">
        <v>0</v>
      </c>
      <c r="FH2" s="9" t="s">
        <v>0</v>
      </c>
      <c r="FI2" s="9" t="s">
        <v>0</v>
      </c>
    </row>
    <row r="3" spans="1:165">
      <c r="A3" s="1" t="s">
        <v>0</v>
      </c>
      <c r="B3" s="1" t="s">
        <v>0</v>
      </c>
      <c r="C3" s="1" t="s">
        <v>0</v>
      </c>
      <c r="D3" s="7" t="s">
        <v>49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7" t="s">
        <v>49</v>
      </c>
      <c r="AJ3" s="1" t="s">
        <v>0</v>
      </c>
      <c r="AK3" s="1" t="s">
        <v>0</v>
      </c>
      <c r="AL3" s="1" t="s">
        <v>0</v>
      </c>
      <c r="AM3" s="1" t="s">
        <v>0</v>
      </c>
      <c r="AN3" s="1" t="s">
        <v>0</v>
      </c>
      <c r="AO3" s="1" t="s">
        <v>0</v>
      </c>
      <c r="AP3" s="1" t="s">
        <v>0</v>
      </c>
      <c r="AQ3" s="1" t="s">
        <v>0</v>
      </c>
      <c r="AR3" s="1" t="s">
        <v>0</v>
      </c>
      <c r="AS3" s="1" t="s">
        <v>0</v>
      </c>
      <c r="AT3" s="1" t="s">
        <v>0</v>
      </c>
      <c r="AU3" s="1" t="s">
        <v>0</v>
      </c>
      <c r="AV3" s="1" t="s">
        <v>0</v>
      </c>
      <c r="AW3" s="1" t="s">
        <v>0</v>
      </c>
      <c r="AX3" s="1" t="s">
        <v>0</v>
      </c>
      <c r="AY3" s="1" t="s">
        <v>0</v>
      </c>
      <c r="AZ3" s="1" t="s">
        <v>0</v>
      </c>
      <c r="BA3" s="1" t="s">
        <v>0</v>
      </c>
      <c r="BB3" s="1" t="s">
        <v>0</v>
      </c>
      <c r="BC3" s="1" t="s">
        <v>0</v>
      </c>
      <c r="BD3" s="1" t="s">
        <v>0</v>
      </c>
      <c r="BE3" s="1" t="s">
        <v>0</v>
      </c>
      <c r="BF3" s="1" t="s">
        <v>0</v>
      </c>
      <c r="BG3" s="1" t="s">
        <v>0</v>
      </c>
      <c r="BH3" s="1" t="s">
        <v>0</v>
      </c>
      <c r="BI3" s="1" t="s">
        <v>0</v>
      </c>
      <c r="BJ3" s="1" t="s">
        <v>0</v>
      </c>
      <c r="BK3" s="1" t="s">
        <v>0</v>
      </c>
      <c r="BL3" s="1" t="s">
        <v>0</v>
      </c>
      <c r="BM3" s="1" t="s">
        <v>0</v>
      </c>
      <c r="BN3" s="1" t="s">
        <v>0</v>
      </c>
      <c r="BO3" s="7" t="s">
        <v>49</v>
      </c>
      <c r="BP3" s="1" t="s">
        <v>0</v>
      </c>
      <c r="BQ3" s="1" t="s">
        <v>0</v>
      </c>
      <c r="BR3" s="1" t="s">
        <v>0</v>
      </c>
      <c r="BS3" s="1" t="s">
        <v>0</v>
      </c>
      <c r="BT3" s="1" t="s">
        <v>0</v>
      </c>
      <c r="BU3" s="1" t="s">
        <v>0</v>
      </c>
      <c r="BV3" s="1" t="s">
        <v>0</v>
      </c>
      <c r="BW3" s="1" t="s">
        <v>0</v>
      </c>
      <c r="BX3" s="1" t="s">
        <v>0</v>
      </c>
      <c r="BY3" s="1" t="s">
        <v>0</v>
      </c>
      <c r="BZ3" s="1" t="s">
        <v>0</v>
      </c>
      <c r="CA3" s="1" t="s">
        <v>0</v>
      </c>
      <c r="CB3" s="1" t="s">
        <v>0</v>
      </c>
      <c r="CC3" s="1" t="s">
        <v>0</v>
      </c>
      <c r="CD3" s="1" t="s">
        <v>0</v>
      </c>
      <c r="CE3" s="1" t="s">
        <v>0</v>
      </c>
      <c r="CF3" s="1" t="s">
        <v>0</v>
      </c>
      <c r="CG3" s="1" t="s">
        <v>0</v>
      </c>
      <c r="CH3" s="1" t="s">
        <v>0</v>
      </c>
      <c r="CI3" s="1" t="s">
        <v>0</v>
      </c>
      <c r="CJ3" s="1" t="s">
        <v>0</v>
      </c>
      <c r="CK3" s="1" t="s">
        <v>0</v>
      </c>
      <c r="CL3" s="1" t="s">
        <v>0</v>
      </c>
      <c r="CM3" s="1" t="s">
        <v>0</v>
      </c>
      <c r="CN3" s="1" t="s">
        <v>0</v>
      </c>
      <c r="CO3" s="1" t="s">
        <v>0</v>
      </c>
      <c r="CP3" s="1" t="s">
        <v>0</v>
      </c>
      <c r="CQ3" s="1" t="s">
        <v>0</v>
      </c>
      <c r="CR3" s="1" t="s">
        <v>0</v>
      </c>
      <c r="CS3" s="1" t="s">
        <v>0</v>
      </c>
      <c r="CT3" s="7" t="s">
        <v>49</v>
      </c>
      <c r="CU3" s="1" t="s">
        <v>0</v>
      </c>
      <c r="CV3" s="1" t="s">
        <v>0</v>
      </c>
      <c r="CW3" s="1" t="s">
        <v>0</v>
      </c>
      <c r="CX3" s="1" t="s">
        <v>0</v>
      </c>
      <c r="CY3" s="1" t="s">
        <v>0</v>
      </c>
      <c r="CZ3" s="1" t="s">
        <v>0</v>
      </c>
      <c r="DA3" s="1" t="s">
        <v>0</v>
      </c>
      <c r="DB3" s="1" t="s">
        <v>0</v>
      </c>
      <c r="DC3" s="1" t="s">
        <v>0</v>
      </c>
      <c r="DD3" s="1" t="s">
        <v>0</v>
      </c>
      <c r="DE3" s="1" t="s">
        <v>0</v>
      </c>
      <c r="DF3" s="1" t="s">
        <v>0</v>
      </c>
      <c r="DG3" s="1" t="s">
        <v>0</v>
      </c>
      <c r="DH3" s="1" t="s">
        <v>0</v>
      </c>
      <c r="DI3" s="1" t="s">
        <v>0</v>
      </c>
      <c r="DJ3" s="1" t="s">
        <v>0</v>
      </c>
      <c r="DK3" s="1" t="s">
        <v>0</v>
      </c>
      <c r="DL3" s="1" t="s">
        <v>0</v>
      </c>
      <c r="DM3" s="1" t="s">
        <v>0</v>
      </c>
      <c r="DN3" s="1" t="s">
        <v>0</v>
      </c>
      <c r="DO3" s="1" t="s">
        <v>0</v>
      </c>
      <c r="DP3" s="1" t="s">
        <v>0</v>
      </c>
      <c r="DQ3" s="1" t="s">
        <v>0</v>
      </c>
      <c r="DR3" s="1" t="s">
        <v>0</v>
      </c>
      <c r="DS3" s="1" t="s">
        <v>0</v>
      </c>
      <c r="DT3" s="1" t="s">
        <v>0</v>
      </c>
      <c r="DU3" s="1" t="s">
        <v>0</v>
      </c>
      <c r="DV3" s="1" t="s">
        <v>0</v>
      </c>
      <c r="DW3" s="1" t="s">
        <v>0</v>
      </c>
      <c r="DX3" s="1" t="s">
        <v>0</v>
      </c>
      <c r="DY3" s="1" t="s">
        <v>0</v>
      </c>
      <c r="DZ3" s="7" t="s">
        <v>53</v>
      </c>
      <c r="EA3" s="1" t="s">
        <v>0</v>
      </c>
      <c r="EB3" s="1" t="s">
        <v>0</v>
      </c>
      <c r="EC3" s="1" t="s">
        <v>0</v>
      </c>
      <c r="ED3" s="1" t="s">
        <v>0</v>
      </c>
      <c r="EE3" s="1" t="s">
        <v>0</v>
      </c>
      <c r="EF3" s="1" t="s">
        <v>0</v>
      </c>
      <c r="EG3" s="1" t="s">
        <v>0</v>
      </c>
      <c r="EH3" s="1" t="s">
        <v>0</v>
      </c>
      <c r="EI3" s="1" t="s">
        <v>0</v>
      </c>
      <c r="EJ3" s="1" t="s">
        <v>0</v>
      </c>
      <c r="EK3" s="1" t="s">
        <v>0</v>
      </c>
      <c r="EL3" s="1" t="s">
        <v>0</v>
      </c>
      <c r="EM3" s="1" t="s">
        <v>0</v>
      </c>
      <c r="EN3" s="1" t="s">
        <v>0</v>
      </c>
      <c r="EO3" s="1" t="s">
        <v>0</v>
      </c>
      <c r="EP3" s="1" t="s">
        <v>0</v>
      </c>
      <c r="EQ3" s="1" t="s">
        <v>0</v>
      </c>
      <c r="ER3" s="1" t="s">
        <v>0</v>
      </c>
      <c r="ES3" s="1" t="s">
        <v>0</v>
      </c>
      <c r="ET3" s="1" t="s">
        <v>0</v>
      </c>
      <c r="EU3" s="1" t="s">
        <v>0</v>
      </c>
      <c r="EV3" s="1" t="s">
        <v>0</v>
      </c>
      <c r="EW3" s="1" t="s">
        <v>0</v>
      </c>
      <c r="EX3" s="1" t="s">
        <v>0</v>
      </c>
      <c r="EY3" s="1" t="s">
        <v>0</v>
      </c>
      <c r="EZ3" s="1" t="s">
        <v>0</v>
      </c>
      <c r="FA3" s="1" t="s">
        <v>0</v>
      </c>
      <c r="FB3" s="1" t="s">
        <v>0</v>
      </c>
      <c r="FC3" s="1" t="s">
        <v>0</v>
      </c>
      <c r="FD3" s="1" t="s">
        <v>0</v>
      </c>
      <c r="FE3" s="1" t="s">
        <v>0</v>
      </c>
      <c r="FF3" s="7" t="s">
        <v>0</v>
      </c>
      <c r="FG3" s="7" t="s">
        <v>0</v>
      </c>
      <c r="FH3" s="7" t="s">
        <v>0</v>
      </c>
      <c r="FI3" s="7" t="s">
        <v>0</v>
      </c>
    </row>
    <row r="4" spans="1:165" s="7" customFormat="1">
      <c r="A4" s="7" t="s">
        <v>7</v>
      </c>
      <c r="B4" s="7" t="s">
        <v>8</v>
      </c>
      <c r="C4" s="7" t="s">
        <v>9</v>
      </c>
      <c r="D4" s="7" t="s">
        <v>50</v>
      </c>
      <c r="E4" s="7">
        <v>1</v>
      </c>
      <c r="F4" s="7">
        <v>2</v>
      </c>
      <c r="G4" s="7">
        <v>3</v>
      </c>
      <c r="H4" s="7">
        <v>4</v>
      </c>
      <c r="I4" s="7">
        <v>5</v>
      </c>
      <c r="J4" s="7">
        <v>6</v>
      </c>
      <c r="K4" s="7">
        <v>7</v>
      </c>
      <c r="L4" s="7">
        <v>8</v>
      </c>
      <c r="M4" s="7">
        <v>9</v>
      </c>
      <c r="N4" s="7">
        <v>10</v>
      </c>
      <c r="O4" s="7">
        <v>11</v>
      </c>
      <c r="P4" s="7">
        <v>12</v>
      </c>
      <c r="Q4" s="7">
        <v>13</v>
      </c>
      <c r="R4" s="7">
        <v>14</v>
      </c>
      <c r="S4" s="7">
        <v>15</v>
      </c>
      <c r="T4" s="7">
        <v>16</v>
      </c>
      <c r="U4" s="7">
        <v>17</v>
      </c>
      <c r="V4" s="7">
        <v>18</v>
      </c>
      <c r="W4" s="7">
        <v>19</v>
      </c>
      <c r="X4" s="7">
        <v>20</v>
      </c>
      <c r="Y4" s="7">
        <v>21</v>
      </c>
      <c r="Z4" s="7">
        <v>22</v>
      </c>
      <c r="AA4" s="7">
        <v>23</v>
      </c>
      <c r="AB4" s="7">
        <v>24</v>
      </c>
      <c r="AC4" s="7">
        <v>25</v>
      </c>
      <c r="AD4" s="7">
        <v>26</v>
      </c>
      <c r="AE4" s="7">
        <v>27</v>
      </c>
      <c r="AF4" s="7">
        <v>28</v>
      </c>
      <c r="AG4" s="7">
        <v>29</v>
      </c>
      <c r="AH4" s="7">
        <v>30</v>
      </c>
      <c r="AI4" s="7" t="s">
        <v>51</v>
      </c>
      <c r="AJ4" s="7">
        <v>1</v>
      </c>
      <c r="AK4" s="7">
        <v>2</v>
      </c>
      <c r="AL4" s="7">
        <v>3</v>
      </c>
      <c r="AM4" s="7">
        <v>4</v>
      </c>
      <c r="AN4" s="7">
        <v>5</v>
      </c>
      <c r="AO4" s="7">
        <v>6</v>
      </c>
      <c r="AP4" s="7">
        <v>7</v>
      </c>
      <c r="AQ4" s="7">
        <v>8</v>
      </c>
      <c r="AR4" s="7">
        <v>9</v>
      </c>
      <c r="AS4" s="7">
        <v>10</v>
      </c>
      <c r="AT4" s="7">
        <v>11</v>
      </c>
      <c r="AU4" s="7">
        <v>12</v>
      </c>
      <c r="AV4" s="7">
        <v>13</v>
      </c>
      <c r="AW4" s="7">
        <v>14</v>
      </c>
      <c r="AX4" s="7">
        <v>15</v>
      </c>
      <c r="AY4" s="7">
        <v>16</v>
      </c>
      <c r="AZ4" s="7">
        <v>17</v>
      </c>
      <c r="BA4" s="7">
        <v>18</v>
      </c>
      <c r="BB4" s="7">
        <v>19</v>
      </c>
      <c r="BC4" s="7">
        <v>20</v>
      </c>
      <c r="BD4" s="7">
        <v>21</v>
      </c>
      <c r="BE4" s="7">
        <v>22</v>
      </c>
      <c r="BF4" s="7">
        <v>23</v>
      </c>
      <c r="BG4" s="7">
        <v>24</v>
      </c>
      <c r="BH4" s="7">
        <v>25</v>
      </c>
      <c r="BI4" s="7">
        <v>26</v>
      </c>
      <c r="BJ4" s="7">
        <v>27</v>
      </c>
      <c r="BK4" s="7">
        <v>28</v>
      </c>
      <c r="BL4" s="7">
        <v>29</v>
      </c>
      <c r="BM4" s="7">
        <v>30</v>
      </c>
      <c r="BN4" s="7">
        <v>31</v>
      </c>
      <c r="BO4" s="7" t="s">
        <v>52</v>
      </c>
      <c r="BP4" s="7">
        <v>1</v>
      </c>
      <c r="BQ4" s="7">
        <v>2</v>
      </c>
      <c r="BR4" s="7">
        <v>3</v>
      </c>
      <c r="BS4" s="7">
        <v>4</v>
      </c>
      <c r="BT4" s="7">
        <v>5</v>
      </c>
      <c r="BU4" s="7">
        <v>6</v>
      </c>
      <c r="BV4" s="7">
        <v>7</v>
      </c>
      <c r="BW4" s="7">
        <v>8</v>
      </c>
      <c r="BX4" s="7">
        <v>9</v>
      </c>
      <c r="BY4" s="7">
        <v>10</v>
      </c>
      <c r="BZ4" s="7">
        <v>11</v>
      </c>
      <c r="CA4" s="7">
        <v>12</v>
      </c>
      <c r="CB4" s="7">
        <v>13</v>
      </c>
      <c r="CC4" s="7">
        <v>14</v>
      </c>
      <c r="CD4" s="7">
        <v>15</v>
      </c>
      <c r="CE4" s="7">
        <v>16</v>
      </c>
      <c r="CF4" s="7">
        <v>17</v>
      </c>
      <c r="CG4" s="7">
        <v>18</v>
      </c>
      <c r="CH4" s="7">
        <v>19</v>
      </c>
      <c r="CI4" s="7">
        <v>20</v>
      </c>
      <c r="CJ4" s="7">
        <v>21</v>
      </c>
      <c r="CK4" s="7">
        <v>22</v>
      </c>
      <c r="CL4" s="7">
        <v>23</v>
      </c>
      <c r="CM4" s="7">
        <v>24</v>
      </c>
      <c r="CN4" s="7">
        <v>25</v>
      </c>
      <c r="CO4" s="7">
        <v>26</v>
      </c>
      <c r="CP4" s="7">
        <v>27</v>
      </c>
      <c r="CQ4" s="7">
        <v>28</v>
      </c>
      <c r="CR4" s="7">
        <v>29</v>
      </c>
      <c r="CS4" s="7">
        <v>30</v>
      </c>
      <c r="CT4" s="7" t="s">
        <v>54</v>
      </c>
      <c r="CU4" s="7">
        <v>1</v>
      </c>
      <c r="CV4" s="7">
        <v>2</v>
      </c>
      <c r="CW4" s="7">
        <v>3</v>
      </c>
      <c r="CX4" s="7">
        <v>4</v>
      </c>
      <c r="CY4" s="7">
        <v>5</v>
      </c>
      <c r="CZ4" s="7">
        <v>6</v>
      </c>
      <c r="DA4" s="7">
        <v>7</v>
      </c>
      <c r="DB4" s="7">
        <v>8</v>
      </c>
      <c r="DC4" s="7">
        <v>9</v>
      </c>
      <c r="DD4" s="7">
        <v>10</v>
      </c>
      <c r="DE4" s="7">
        <v>11</v>
      </c>
      <c r="DF4" s="7">
        <v>12</v>
      </c>
      <c r="DG4" s="7">
        <v>13</v>
      </c>
      <c r="DH4" s="7">
        <v>14</v>
      </c>
      <c r="DI4" s="7">
        <v>15</v>
      </c>
      <c r="DJ4" s="7">
        <v>16</v>
      </c>
      <c r="DK4" s="7">
        <v>17</v>
      </c>
      <c r="DL4" s="7">
        <v>18</v>
      </c>
      <c r="DM4" s="7">
        <v>19</v>
      </c>
      <c r="DN4" s="7">
        <v>20</v>
      </c>
      <c r="DO4" s="7">
        <v>21</v>
      </c>
      <c r="DP4" s="7">
        <v>22</v>
      </c>
      <c r="DQ4" s="7">
        <v>23</v>
      </c>
      <c r="DR4" s="7">
        <v>24</v>
      </c>
      <c r="DS4" s="7">
        <v>25</v>
      </c>
      <c r="DT4" s="7">
        <v>26</v>
      </c>
      <c r="DU4" s="7">
        <v>27</v>
      </c>
      <c r="DV4" s="7">
        <v>28</v>
      </c>
      <c r="DW4" s="7">
        <v>29</v>
      </c>
      <c r="DX4" s="7">
        <v>30</v>
      </c>
      <c r="DY4" s="7">
        <v>31</v>
      </c>
      <c r="DZ4" s="7" t="s">
        <v>55</v>
      </c>
      <c r="EA4" s="7">
        <v>1</v>
      </c>
      <c r="EB4" s="7">
        <v>2</v>
      </c>
      <c r="EC4" s="7">
        <v>3</v>
      </c>
      <c r="ED4" s="7">
        <v>4</v>
      </c>
      <c r="EE4" s="7">
        <v>5</v>
      </c>
      <c r="EF4" s="7">
        <v>6</v>
      </c>
      <c r="EG4" s="7">
        <v>7</v>
      </c>
      <c r="EH4" s="7">
        <v>8</v>
      </c>
      <c r="EI4" s="7">
        <v>9</v>
      </c>
      <c r="EJ4" s="7">
        <v>10</v>
      </c>
      <c r="EK4" s="7">
        <v>11</v>
      </c>
      <c r="EL4" s="7">
        <v>12</v>
      </c>
      <c r="EM4" s="7">
        <v>13</v>
      </c>
      <c r="EN4" s="7">
        <v>14</v>
      </c>
      <c r="EO4" s="7">
        <v>15</v>
      </c>
      <c r="EP4" s="7">
        <v>16</v>
      </c>
      <c r="EQ4" s="7">
        <v>17</v>
      </c>
      <c r="ER4" s="7">
        <v>18</v>
      </c>
      <c r="ES4" s="7">
        <v>19</v>
      </c>
      <c r="ET4" s="7">
        <v>20</v>
      </c>
      <c r="EU4" s="7">
        <v>21</v>
      </c>
      <c r="EV4" s="7">
        <v>22</v>
      </c>
      <c r="EW4" s="7">
        <v>23</v>
      </c>
      <c r="EX4" s="7">
        <v>24</v>
      </c>
      <c r="EY4" s="7">
        <v>25</v>
      </c>
      <c r="EZ4" s="7">
        <v>26</v>
      </c>
      <c r="FA4" s="7">
        <v>27</v>
      </c>
      <c r="FB4" s="7">
        <v>28</v>
      </c>
      <c r="FC4" s="7">
        <v>29</v>
      </c>
      <c r="FD4" s="7">
        <v>30</v>
      </c>
      <c r="FE4" s="7">
        <v>31</v>
      </c>
      <c r="FF4" s="7" t="s">
        <v>29</v>
      </c>
      <c r="FG4" s="7" t="s">
        <v>30</v>
      </c>
      <c r="FH4" s="7" t="s">
        <v>31</v>
      </c>
      <c r="FI4" s="7" t="s">
        <v>32</v>
      </c>
    </row>
    <row r="5" spans="1:165" s="7" customFormat="1">
      <c r="A5" s="7" t="s">
        <v>0</v>
      </c>
      <c r="B5" s="7" t="s">
        <v>0</v>
      </c>
      <c r="C5" s="7" t="s">
        <v>0</v>
      </c>
      <c r="D5" s="7">
        <f>COUNTA(E13:AH13)</f>
        <v>30</v>
      </c>
      <c r="E5" s="7" t="s">
        <v>33</v>
      </c>
      <c r="F5" s="7" t="s">
        <v>34</v>
      </c>
      <c r="G5" s="7" t="s">
        <v>35</v>
      </c>
      <c r="H5" s="7" t="s">
        <v>36</v>
      </c>
      <c r="I5" s="7" t="s">
        <v>37</v>
      </c>
      <c r="J5" s="7" t="s">
        <v>38</v>
      </c>
      <c r="K5" s="7" t="s">
        <v>39</v>
      </c>
      <c r="L5" s="7" t="s">
        <v>33</v>
      </c>
      <c r="M5" s="7" t="s">
        <v>34</v>
      </c>
      <c r="N5" s="7" t="s">
        <v>35</v>
      </c>
      <c r="O5" s="7" t="s">
        <v>36</v>
      </c>
      <c r="P5" s="7" t="s">
        <v>37</v>
      </c>
      <c r="Q5" s="7" t="s">
        <v>38</v>
      </c>
      <c r="R5" s="7" t="s">
        <v>39</v>
      </c>
      <c r="S5" s="7" t="s">
        <v>33</v>
      </c>
      <c r="T5" s="7" t="s">
        <v>34</v>
      </c>
      <c r="U5" s="7" t="s">
        <v>35</v>
      </c>
      <c r="V5" s="7" t="s">
        <v>36</v>
      </c>
      <c r="W5" s="7" t="s">
        <v>37</v>
      </c>
      <c r="X5" s="7" t="s">
        <v>38</v>
      </c>
      <c r="Y5" s="7" t="s">
        <v>39</v>
      </c>
      <c r="Z5" s="7" t="s">
        <v>33</v>
      </c>
      <c r="AA5" s="7" t="s">
        <v>34</v>
      </c>
      <c r="AB5" s="7" t="s">
        <v>35</v>
      </c>
      <c r="AC5" s="7" t="s">
        <v>36</v>
      </c>
      <c r="AD5" s="7" t="s">
        <v>37</v>
      </c>
      <c r="AE5" s="7" t="s">
        <v>38</v>
      </c>
      <c r="AF5" s="7" t="s">
        <v>39</v>
      </c>
      <c r="AG5" s="7" t="s">
        <v>33</v>
      </c>
      <c r="AH5" s="7" t="s">
        <v>34</v>
      </c>
      <c r="AI5" s="7">
        <f>COUNTA(AJ13:BN13)</f>
        <v>31</v>
      </c>
      <c r="AJ5" s="7" t="s">
        <v>35</v>
      </c>
      <c r="AK5" s="7" t="s">
        <v>36</v>
      </c>
      <c r="AL5" s="7" t="s">
        <v>37</v>
      </c>
      <c r="AM5" s="7" t="s">
        <v>38</v>
      </c>
      <c r="AN5" s="7" t="s">
        <v>39</v>
      </c>
      <c r="AO5" s="7" t="s">
        <v>33</v>
      </c>
      <c r="AP5" s="7" t="s">
        <v>34</v>
      </c>
      <c r="AQ5" s="7" t="s">
        <v>35</v>
      </c>
      <c r="AR5" s="7" t="s">
        <v>36</v>
      </c>
      <c r="AS5" s="7" t="s">
        <v>37</v>
      </c>
      <c r="AT5" s="7" t="s">
        <v>38</v>
      </c>
      <c r="AU5" s="7" t="s">
        <v>39</v>
      </c>
      <c r="AV5" s="7" t="s">
        <v>33</v>
      </c>
      <c r="AW5" s="7" t="s">
        <v>34</v>
      </c>
      <c r="AX5" s="7" t="s">
        <v>35</v>
      </c>
      <c r="AY5" s="7" t="s">
        <v>36</v>
      </c>
      <c r="AZ5" s="7" t="s">
        <v>37</v>
      </c>
      <c r="BA5" s="7" t="s">
        <v>38</v>
      </c>
      <c r="BB5" s="7" t="s">
        <v>39</v>
      </c>
      <c r="BC5" s="7" t="s">
        <v>33</v>
      </c>
      <c r="BD5" s="7" t="s">
        <v>34</v>
      </c>
      <c r="BE5" s="7" t="s">
        <v>35</v>
      </c>
      <c r="BF5" s="7" t="s">
        <v>36</v>
      </c>
      <c r="BG5" s="7" t="s">
        <v>37</v>
      </c>
      <c r="BH5" s="7" t="s">
        <v>38</v>
      </c>
      <c r="BI5" s="7" t="s">
        <v>39</v>
      </c>
      <c r="BJ5" s="7" t="s">
        <v>33</v>
      </c>
      <c r="BK5" s="7" t="s">
        <v>34</v>
      </c>
      <c r="BL5" s="7" t="s">
        <v>35</v>
      </c>
      <c r="BM5" s="7" t="s">
        <v>36</v>
      </c>
      <c r="BN5" s="7" t="s">
        <v>37</v>
      </c>
      <c r="BO5" s="7">
        <f>COUNTA(BP13:CS13)</f>
        <v>30</v>
      </c>
      <c r="BP5" s="7" t="s">
        <v>38</v>
      </c>
      <c r="BQ5" s="7" t="s">
        <v>39</v>
      </c>
      <c r="BR5" s="7" t="s">
        <v>33</v>
      </c>
      <c r="BS5" s="7" t="s">
        <v>34</v>
      </c>
      <c r="BT5" s="7" t="s">
        <v>35</v>
      </c>
      <c r="BU5" s="7" t="s">
        <v>36</v>
      </c>
      <c r="BV5" s="7" t="s">
        <v>37</v>
      </c>
      <c r="BW5" s="7" t="s">
        <v>38</v>
      </c>
      <c r="BX5" s="7" t="s">
        <v>39</v>
      </c>
      <c r="BY5" s="7" t="s">
        <v>33</v>
      </c>
      <c r="BZ5" s="7" t="s">
        <v>34</v>
      </c>
      <c r="CA5" s="7" t="s">
        <v>35</v>
      </c>
      <c r="CB5" s="7" t="s">
        <v>36</v>
      </c>
      <c r="CC5" s="7" t="s">
        <v>37</v>
      </c>
      <c r="CD5" s="7" t="s">
        <v>38</v>
      </c>
      <c r="CE5" s="7" t="s">
        <v>39</v>
      </c>
      <c r="CF5" s="7" t="s">
        <v>33</v>
      </c>
      <c r="CG5" s="7" t="s">
        <v>34</v>
      </c>
      <c r="CH5" s="7" t="s">
        <v>35</v>
      </c>
      <c r="CI5" s="7" t="s">
        <v>36</v>
      </c>
      <c r="CJ5" s="7" t="s">
        <v>37</v>
      </c>
      <c r="CK5" s="7" t="s">
        <v>38</v>
      </c>
      <c r="CL5" s="7" t="s">
        <v>39</v>
      </c>
      <c r="CM5" s="7" t="s">
        <v>33</v>
      </c>
      <c r="CN5" s="7" t="s">
        <v>34</v>
      </c>
      <c r="CO5" s="7" t="s">
        <v>35</v>
      </c>
      <c r="CP5" s="7" t="s">
        <v>36</v>
      </c>
      <c r="CQ5" s="7" t="s">
        <v>37</v>
      </c>
      <c r="CR5" s="7" t="s">
        <v>38</v>
      </c>
      <c r="CS5" s="7" t="s">
        <v>39</v>
      </c>
      <c r="CT5" s="7">
        <f>COUNTA(CU13:DY13)</f>
        <v>31</v>
      </c>
      <c r="CU5" s="7" t="s">
        <v>33</v>
      </c>
      <c r="CV5" s="7" t="s">
        <v>34</v>
      </c>
      <c r="CW5" s="7" t="s">
        <v>35</v>
      </c>
      <c r="CX5" s="7" t="s">
        <v>36</v>
      </c>
      <c r="CY5" s="7" t="s">
        <v>37</v>
      </c>
      <c r="CZ5" s="7" t="s">
        <v>38</v>
      </c>
      <c r="DA5" s="7" t="s">
        <v>39</v>
      </c>
      <c r="DB5" s="7" t="s">
        <v>33</v>
      </c>
      <c r="DC5" s="7" t="s">
        <v>34</v>
      </c>
      <c r="DD5" s="7" t="s">
        <v>35</v>
      </c>
      <c r="DE5" s="7" t="s">
        <v>36</v>
      </c>
      <c r="DF5" s="7" t="s">
        <v>37</v>
      </c>
      <c r="DG5" s="7" t="s">
        <v>38</v>
      </c>
      <c r="DH5" s="7" t="s">
        <v>39</v>
      </c>
      <c r="DI5" s="7" t="s">
        <v>33</v>
      </c>
      <c r="DJ5" s="7" t="s">
        <v>34</v>
      </c>
      <c r="DK5" s="7" t="s">
        <v>35</v>
      </c>
      <c r="DL5" s="7" t="s">
        <v>36</v>
      </c>
      <c r="DM5" s="7" t="s">
        <v>37</v>
      </c>
      <c r="DN5" s="7" t="s">
        <v>38</v>
      </c>
      <c r="DO5" s="7" t="s">
        <v>39</v>
      </c>
      <c r="DP5" s="7" t="s">
        <v>33</v>
      </c>
      <c r="DQ5" s="7" t="s">
        <v>34</v>
      </c>
      <c r="DR5" s="7" t="s">
        <v>35</v>
      </c>
      <c r="DS5" s="7" t="s">
        <v>36</v>
      </c>
      <c r="DT5" s="7" t="s">
        <v>37</v>
      </c>
      <c r="DU5" s="7" t="s">
        <v>38</v>
      </c>
      <c r="DV5" s="7" t="s">
        <v>39</v>
      </c>
      <c r="DW5" s="7" t="s">
        <v>33</v>
      </c>
      <c r="DX5" s="7" t="s">
        <v>34</v>
      </c>
      <c r="DY5" s="7" t="s">
        <v>35</v>
      </c>
      <c r="DZ5" s="7">
        <f>COUNTA(EA13:FE13)</f>
        <v>31</v>
      </c>
      <c r="EA5" s="7" t="s">
        <v>36</v>
      </c>
      <c r="EB5" s="7" t="s">
        <v>37</v>
      </c>
      <c r="EC5" s="7" t="s">
        <v>38</v>
      </c>
      <c r="ED5" s="7" t="s">
        <v>39</v>
      </c>
      <c r="EE5" s="7" t="s">
        <v>33</v>
      </c>
      <c r="EF5" s="7" t="s">
        <v>34</v>
      </c>
      <c r="EG5" s="7" t="s">
        <v>35</v>
      </c>
      <c r="EH5" s="7" t="s">
        <v>36</v>
      </c>
      <c r="EI5" s="7" t="s">
        <v>37</v>
      </c>
      <c r="EJ5" s="7" t="s">
        <v>38</v>
      </c>
      <c r="EK5" s="7" t="s">
        <v>39</v>
      </c>
      <c r="EL5" s="7" t="s">
        <v>33</v>
      </c>
      <c r="EM5" s="7" t="s">
        <v>34</v>
      </c>
      <c r="EN5" s="7" t="s">
        <v>35</v>
      </c>
      <c r="EO5" s="7" t="s">
        <v>36</v>
      </c>
      <c r="EP5" s="7" t="s">
        <v>37</v>
      </c>
      <c r="EQ5" s="7" t="s">
        <v>38</v>
      </c>
      <c r="ER5" s="7" t="s">
        <v>39</v>
      </c>
      <c r="ES5" s="7" t="s">
        <v>33</v>
      </c>
      <c r="ET5" s="7" t="s">
        <v>34</v>
      </c>
      <c r="EU5" s="7" t="s">
        <v>35</v>
      </c>
      <c r="EV5" s="7" t="s">
        <v>36</v>
      </c>
      <c r="EW5" s="7" t="s">
        <v>37</v>
      </c>
      <c r="EX5" s="7" t="s">
        <v>38</v>
      </c>
      <c r="EY5" s="7" t="s">
        <v>39</v>
      </c>
      <c r="EZ5" s="7" t="s">
        <v>33</v>
      </c>
      <c r="FA5" s="7" t="s">
        <v>34</v>
      </c>
      <c r="FB5" s="7" t="s">
        <v>35</v>
      </c>
      <c r="FC5" s="7" t="s">
        <v>36</v>
      </c>
      <c r="FD5" s="7" t="s">
        <v>37</v>
      </c>
      <c r="FE5" s="7" t="s">
        <v>38</v>
      </c>
      <c r="FF5" s="7" t="s">
        <v>0</v>
      </c>
      <c r="FG5" s="7" t="s">
        <v>0</v>
      </c>
      <c r="FH5" s="8" t="s">
        <v>0</v>
      </c>
      <c r="FI5" s="7" t="s">
        <v>0</v>
      </c>
    </row>
    <row r="6" spans="1:165">
      <c r="A6" s="1" t="s">
        <v>15</v>
      </c>
      <c r="B6" s="1" t="s">
        <v>16</v>
      </c>
      <c r="C6" s="1" t="s">
        <v>17</v>
      </c>
      <c r="D6" s="7">
        <f>SUM(E6:AH6)</f>
        <v>12</v>
      </c>
      <c r="E6" s="1" t="s">
        <v>0</v>
      </c>
      <c r="F6" s="1">
        <v>4</v>
      </c>
      <c r="G6" s="1">
        <v>1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>
        <v>1</v>
      </c>
      <c r="O6" s="1">
        <v>2</v>
      </c>
      <c r="P6" s="1">
        <v>-1</v>
      </c>
      <c r="Q6" s="1">
        <v>2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>
        <v>4</v>
      </c>
      <c r="Y6" s="1">
        <v>-1</v>
      </c>
      <c r="Z6" s="1" t="s">
        <v>0</v>
      </c>
      <c r="AA6" s="1" t="s">
        <v>0</v>
      </c>
      <c r="AB6" s="1" t="s">
        <v>0</v>
      </c>
      <c r="AC6" s="1" t="s">
        <v>0</v>
      </c>
      <c r="AD6" s="1" t="s">
        <v>0</v>
      </c>
      <c r="AE6" s="1" t="s">
        <v>0</v>
      </c>
      <c r="AF6" s="1" t="s">
        <v>0</v>
      </c>
      <c r="AG6" s="1" t="s">
        <v>0</v>
      </c>
      <c r="AH6" s="1" t="s">
        <v>0</v>
      </c>
      <c r="AI6" s="7">
        <f>SUM(AJ6:BN6)</f>
        <v>1</v>
      </c>
      <c r="AJ6" s="1" t="s">
        <v>0</v>
      </c>
      <c r="AK6" s="1" t="s">
        <v>0</v>
      </c>
      <c r="AL6" s="1" t="s">
        <v>0</v>
      </c>
      <c r="AM6" s="1" t="s">
        <v>0</v>
      </c>
      <c r="AN6" s="1" t="s">
        <v>0</v>
      </c>
      <c r="AO6" s="1" t="s">
        <v>0</v>
      </c>
      <c r="AP6" s="1" t="s">
        <v>0</v>
      </c>
      <c r="AQ6" s="1">
        <v>1</v>
      </c>
      <c r="AR6" s="1" t="s">
        <v>0</v>
      </c>
      <c r="AS6" s="1" t="s">
        <v>0</v>
      </c>
      <c r="AT6" s="1" t="s">
        <v>0</v>
      </c>
      <c r="AU6" s="1" t="s">
        <v>0</v>
      </c>
      <c r="AV6" s="1" t="s">
        <v>0</v>
      </c>
      <c r="AW6" s="1" t="s">
        <v>0</v>
      </c>
      <c r="AX6" s="1" t="s">
        <v>0</v>
      </c>
      <c r="AY6" s="1" t="s">
        <v>0</v>
      </c>
      <c r="AZ6" s="1" t="s">
        <v>0</v>
      </c>
      <c r="BA6" s="1" t="s">
        <v>0</v>
      </c>
      <c r="BB6" s="1" t="s">
        <v>0</v>
      </c>
      <c r="BC6" s="1" t="s">
        <v>0</v>
      </c>
      <c r="BD6" s="1" t="s">
        <v>0</v>
      </c>
      <c r="BE6" s="1" t="s">
        <v>0</v>
      </c>
      <c r="BF6" s="1" t="s">
        <v>0</v>
      </c>
      <c r="BG6" s="1" t="s">
        <v>0</v>
      </c>
      <c r="BH6" s="1" t="s">
        <v>0</v>
      </c>
      <c r="BI6" s="1" t="s">
        <v>0</v>
      </c>
      <c r="BJ6" s="1" t="s">
        <v>0</v>
      </c>
      <c r="BK6" s="1" t="s">
        <v>0</v>
      </c>
      <c r="BL6" s="1" t="s">
        <v>0</v>
      </c>
      <c r="BM6" s="1" t="s">
        <v>0</v>
      </c>
      <c r="BN6" s="1" t="s">
        <v>0</v>
      </c>
      <c r="BO6" s="7">
        <f>SUM(BP6:CS6)</f>
        <v>0</v>
      </c>
      <c r="BP6" s="1" t="s">
        <v>0</v>
      </c>
      <c r="BQ6" s="1" t="s">
        <v>0</v>
      </c>
      <c r="BR6" s="1" t="s">
        <v>0</v>
      </c>
      <c r="BS6" s="1" t="s">
        <v>0</v>
      </c>
      <c r="BT6" s="1" t="s">
        <v>0</v>
      </c>
      <c r="BU6" s="1" t="s">
        <v>0</v>
      </c>
      <c r="BV6" s="1" t="s">
        <v>0</v>
      </c>
      <c r="BW6" s="1" t="s">
        <v>0</v>
      </c>
      <c r="BX6" s="1" t="s">
        <v>0</v>
      </c>
      <c r="BY6" s="1" t="s">
        <v>0</v>
      </c>
      <c r="BZ6" s="1" t="s">
        <v>0</v>
      </c>
      <c r="CA6" s="1" t="s">
        <v>0</v>
      </c>
      <c r="CB6" s="1" t="s">
        <v>0</v>
      </c>
      <c r="CC6" s="1" t="s">
        <v>0</v>
      </c>
      <c r="CD6" s="1" t="s">
        <v>0</v>
      </c>
      <c r="CE6" s="1" t="s">
        <v>0</v>
      </c>
      <c r="CF6" s="1" t="s">
        <v>0</v>
      </c>
      <c r="CG6" s="1" t="s">
        <v>0</v>
      </c>
      <c r="CH6" s="1" t="s">
        <v>0</v>
      </c>
      <c r="CI6" s="1" t="s">
        <v>0</v>
      </c>
      <c r="CJ6" s="1" t="s">
        <v>0</v>
      </c>
      <c r="CK6" s="1" t="s">
        <v>0</v>
      </c>
      <c r="CL6" s="1" t="s">
        <v>0</v>
      </c>
      <c r="CM6" s="1" t="s">
        <v>0</v>
      </c>
      <c r="CN6" s="1" t="s">
        <v>0</v>
      </c>
      <c r="CO6" s="1" t="s">
        <v>0</v>
      </c>
      <c r="CP6" s="1" t="s">
        <v>0</v>
      </c>
      <c r="CQ6" s="1" t="s">
        <v>0</v>
      </c>
      <c r="CR6" s="1" t="s">
        <v>0</v>
      </c>
      <c r="CS6" s="1" t="s">
        <v>0</v>
      </c>
      <c r="CT6" s="7">
        <f>SUM(CU6:DY6)</f>
        <v>5</v>
      </c>
      <c r="CU6" s="1" t="s">
        <v>0</v>
      </c>
      <c r="CV6" s="1" t="s">
        <v>0</v>
      </c>
      <c r="CW6" s="1" t="s">
        <v>0</v>
      </c>
      <c r="CX6" s="1" t="s">
        <v>0</v>
      </c>
      <c r="CY6" s="1" t="s">
        <v>0</v>
      </c>
      <c r="CZ6" s="1" t="s">
        <v>0</v>
      </c>
      <c r="DA6" s="1" t="s">
        <v>0</v>
      </c>
      <c r="DB6" s="1" t="s">
        <v>0</v>
      </c>
      <c r="DC6" s="1" t="s">
        <v>0</v>
      </c>
      <c r="DD6" s="1" t="s">
        <v>0</v>
      </c>
      <c r="DE6" s="1" t="s">
        <v>0</v>
      </c>
      <c r="DF6" s="1" t="s">
        <v>0</v>
      </c>
      <c r="DG6" s="1" t="s">
        <v>0</v>
      </c>
      <c r="DH6" s="1" t="s">
        <v>0</v>
      </c>
      <c r="DI6" s="1" t="s">
        <v>0</v>
      </c>
      <c r="DJ6" s="1" t="s">
        <v>0</v>
      </c>
      <c r="DK6" s="1" t="s">
        <v>0</v>
      </c>
      <c r="DL6" s="1" t="s">
        <v>0</v>
      </c>
      <c r="DM6" s="1" t="s">
        <v>0</v>
      </c>
      <c r="DN6" s="1" t="s">
        <v>0</v>
      </c>
      <c r="DO6" s="1" t="s">
        <v>0</v>
      </c>
      <c r="DP6" s="1" t="s">
        <v>0</v>
      </c>
      <c r="DQ6" s="1" t="s">
        <v>0</v>
      </c>
      <c r="DR6" s="1">
        <v>5</v>
      </c>
      <c r="DS6" s="1" t="s">
        <v>0</v>
      </c>
      <c r="DT6" s="1" t="s">
        <v>0</v>
      </c>
      <c r="DU6" s="1" t="s">
        <v>0</v>
      </c>
      <c r="DV6" s="1" t="s">
        <v>0</v>
      </c>
      <c r="DW6" s="1" t="s">
        <v>0</v>
      </c>
      <c r="DX6" s="1" t="s">
        <v>0</v>
      </c>
      <c r="DY6" s="1" t="s">
        <v>0</v>
      </c>
      <c r="DZ6" s="7">
        <f>SUM(EA6:FE6)</f>
        <v>1</v>
      </c>
      <c r="EA6" s="1" t="s">
        <v>0</v>
      </c>
      <c r="EB6" s="1" t="s">
        <v>0</v>
      </c>
      <c r="EC6" s="1" t="s">
        <v>0</v>
      </c>
      <c r="ED6" s="1" t="s">
        <v>0</v>
      </c>
      <c r="EE6" s="1" t="s">
        <v>0</v>
      </c>
      <c r="EF6" s="1">
        <v>1</v>
      </c>
      <c r="EG6" s="1">
        <v>1</v>
      </c>
      <c r="EH6" s="1">
        <v>-1</v>
      </c>
      <c r="EI6" s="1" t="s">
        <v>0</v>
      </c>
      <c r="EJ6" s="1" t="s">
        <v>0</v>
      </c>
      <c r="EK6" s="1" t="s">
        <v>0</v>
      </c>
      <c r="EL6" s="1" t="s">
        <v>0</v>
      </c>
      <c r="EM6" s="1" t="s">
        <v>0</v>
      </c>
      <c r="EN6" s="1" t="s">
        <v>0</v>
      </c>
      <c r="EO6" s="1" t="s">
        <v>0</v>
      </c>
      <c r="EP6" s="1" t="s">
        <v>0</v>
      </c>
      <c r="EQ6" s="1" t="s">
        <v>0</v>
      </c>
      <c r="ER6" s="1" t="s">
        <v>0</v>
      </c>
      <c r="ES6" s="1" t="s">
        <v>0</v>
      </c>
      <c r="ET6" s="1" t="s">
        <v>0</v>
      </c>
      <c r="EU6" s="1" t="s">
        <v>0</v>
      </c>
      <c r="EV6" s="1" t="s">
        <v>0</v>
      </c>
      <c r="EW6" s="1" t="s">
        <v>0</v>
      </c>
      <c r="EX6" s="1" t="s">
        <v>0</v>
      </c>
      <c r="EY6" s="1" t="s">
        <v>0</v>
      </c>
      <c r="EZ6" s="1" t="s">
        <v>0</v>
      </c>
      <c r="FA6" s="1" t="s">
        <v>0</v>
      </c>
      <c r="FB6" s="1" t="s">
        <v>0</v>
      </c>
      <c r="FC6" s="1" t="s">
        <v>0</v>
      </c>
      <c r="FD6" s="1" t="s">
        <v>0</v>
      </c>
      <c r="FE6" s="1" t="s">
        <v>0</v>
      </c>
      <c r="FF6" s="7">
        <v>19</v>
      </c>
      <c r="FG6" s="7">
        <v>19</v>
      </c>
      <c r="FH6" s="8">
        <v>0.12258064516129032</v>
      </c>
      <c r="FI6" s="7">
        <v>0</v>
      </c>
    </row>
    <row r="7" spans="1:165">
      <c r="A7" s="1" t="s">
        <v>15</v>
      </c>
      <c r="B7" s="1" t="s">
        <v>20</v>
      </c>
      <c r="C7" s="1" t="s">
        <v>17</v>
      </c>
      <c r="D7" s="7">
        <f t="shared" ref="D7:D12" si="0">SUM(E7:AH7)</f>
        <v>14</v>
      </c>
      <c r="E7" s="1" t="s">
        <v>0</v>
      </c>
      <c r="F7" s="1">
        <v>2</v>
      </c>
      <c r="G7" s="1">
        <v>6</v>
      </c>
      <c r="H7" s="1">
        <v>-1</v>
      </c>
      <c r="I7" s="1">
        <v>1</v>
      </c>
      <c r="J7" s="1">
        <v>5</v>
      </c>
      <c r="K7" s="1" t="s">
        <v>0</v>
      </c>
      <c r="L7" s="1" t="s">
        <v>0</v>
      </c>
      <c r="M7" s="1">
        <v>-1</v>
      </c>
      <c r="N7" s="1">
        <v>2</v>
      </c>
      <c r="O7" s="1">
        <v>1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>
        <v>1</v>
      </c>
      <c r="Y7" s="1" t="s">
        <v>0</v>
      </c>
      <c r="Z7" s="1" t="s">
        <v>0</v>
      </c>
      <c r="AA7" s="1">
        <v>-1</v>
      </c>
      <c r="AB7" s="1" t="s">
        <v>0</v>
      </c>
      <c r="AC7" s="1">
        <v>-1</v>
      </c>
      <c r="AD7" s="1" t="s">
        <v>0</v>
      </c>
      <c r="AE7" s="1" t="s">
        <v>0</v>
      </c>
      <c r="AF7" s="1" t="s">
        <v>0</v>
      </c>
      <c r="AG7" s="1" t="s">
        <v>0</v>
      </c>
      <c r="AH7" s="1" t="s">
        <v>0</v>
      </c>
      <c r="AI7" s="7">
        <f t="shared" ref="AI7:AI12" si="1">SUM(AJ7:BN7)</f>
        <v>0</v>
      </c>
      <c r="AJ7" s="1" t="s">
        <v>0</v>
      </c>
      <c r="AK7" s="1" t="s">
        <v>0</v>
      </c>
      <c r="AL7" s="1" t="s">
        <v>0</v>
      </c>
      <c r="AM7" s="1" t="s">
        <v>0</v>
      </c>
      <c r="AN7" s="1" t="s">
        <v>0</v>
      </c>
      <c r="AO7" s="1" t="s">
        <v>0</v>
      </c>
      <c r="AP7" s="1" t="s">
        <v>0</v>
      </c>
      <c r="AQ7" s="1" t="s">
        <v>0</v>
      </c>
      <c r="AR7" s="1" t="s">
        <v>0</v>
      </c>
      <c r="AS7" s="1" t="s">
        <v>0</v>
      </c>
      <c r="AT7" s="1" t="s">
        <v>0</v>
      </c>
      <c r="AU7" s="1" t="s">
        <v>0</v>
      </c>
      <c r="AV7" s="1" t="s">
        <v>0</v>
      </c>
      <c r="AW7" s="1" t="s">
        <v>0</v>
      </c>
      <c r="AX7" s="1" t="s">
        <v>0</v>
      </c>
      <c r="AY7" s="1" t="s">
        <v>0</v>
      </c>
      <c r="AZ7" s="1" t="s">
        <v>0</v>
      </c>
      <c r="BA7" s="1" t="s">
        <v>0</v>
      </c>
      <c r="BB7" s="1" t="s">
        <v>0</v>
      </c>
      <c r="BC7" s="1" t="s">
        <v>0</v>
      </c>
      <c r="BD7" s="1" t="s">
        <v>0</v>
      </c>
      <c r="BE7" s="1" t="s">
        <v>0</v>
      </c>
      <c r="BF7" s="1" t="s">
        <v>0</v>
      </c>
      <c r="BG7" s="1" t="s">
        <v>0</v>
      </c>
      <c r="BH7" s="1" t="s">
        <v>0</v>
      </c>
      <c r="BI7" s="1" t="s">
        <v>0</v>
      </c>
      <c r="BJ7" s="1" t="s">
        <v>0</v>
      </c>
      <c r="BK7" s="1" t="s">
        <v>0</v>
      </c>
      <c r="BL7" s="1" t="s">
        <v>0</v>
      </c>
      <c r="BM7" s="1" t="s">
        <v>0</v>
      </c>
      <c r="BN7" s="1" t="s">
        <v>0</v>
      </c>
      <c r="BO7" s="7">
        <f t="shared" ref="BO7:BO12" si="2">SUM(BP7:CS7)</f>
        <v>0</v>
      </c>
      <c r="BP7" s="1" t="s">
        <v>0</v>
      </c>
      <c r="BQ7" s="1" t="s">
        <v>0</v>
      </c>
      <c r="BR7" s="1" t="s">
        <v>0</v>
      </c>
      <c r="BS7" s="1" t="s">
        <v>0</v>
      </c>
      <c r="BT7" s="1" t="s">
        <v>0</v>
      </c>
      <c r="BU7" s="1" t="s">
        <v>0</v>
      </c>
      <c r="BV7" s="1" t="s">
        <v>0</v>
      </c>
      <c r="BW7" s="1" t="s">
        <v>0</v>
      </c>
      <c r="BX7" s="1" t="s">
        <v>0</v>
      </c>
      <c r="BY7" s="1" t="s">
        <v>0</v>
      </c>
      <c r="BZ7" s="1" t="s">
        <v>0</v>
      </c>
      <c r="CA7" s="1" t="s">
        <v>0</v>
      </c>
      <c r="CB7" s="1" t="s">
        <v>0</v>
      </c>
      <c r="CC7" s="1" t="s">
        <v>0</v>
      </c>
      <c r="CD7" s="1" t="s">
        <v>0</v>
      </c>
      <c r="CE7" s="1" t="s">
        <v>0</v>
      </c>
      <c r="CF7" s="1" t="s">
        <v>0</v>
      </c>
      <c r="CG7" s="1" t="s">
        <v>0</v>
      </c>
      <c r="CH7" s="1" t="s">
        <v>0</v>
      </c>
      <c r="CI7" s="1" t="s">
        <v>0</v>
      </c>
      <c r="CJ7" s="1" t="s">
        <v>0</v>
      </c>
      <c r="CK7" s="1" t="s">
        <v>0</v>
      </c>
      <c r="CL7" s="1" t="s">
        <v>0</v>
      </c>
      <c r="CM7" s="1" t="s">
        <v>0</v>
      </c>
      <c r="CN7" s="1" t="s">
        <v>0</v>
      </c>
      <c r="CO7" s="1" t="s">
        <v>0</v>
      </c>
      <c r="CP7" s="1" t="s">
        <v>0</v>
      </c>
      <c r="CQ7" s="1" t="s">
        <v>0</v>
      </c>
      <c r="CR7" s="1" t="s">
        <v>0</v>
      </c>
      <c r="CS7" s="1" t="s">
        <v>0</v>
      </c>
      <c r="CT7" s="7">
        <f t="shared" ref="CT7:CT12" si="3">SUM(CU7:DY7)</f>
        <v>5</v>
      </c>
      <c r="CU7" s="1" t="s">
        <v>0</v>
      </c>
      <c r="CV7" s="1" t="s">
        <v>0</v>
      </c>
      <c r="CW7" s="1" t="s">
        <v>0</v>
      </c>
      <c r="CX7" s="1" t="s">
        <v>0</v>
      </c>
      <c r="CY7" s="1" t="s">
        <v>0</v>
      </c>
      <c r="CZ7" s="1" t="s">
        <v>0</v>
      </c>
      <c r="DA7" s="1" t="s">
        <v>0</v>
      </c>
      <c r="DB7" s="1" t="s">
        <v>0</v>
      </c>
      <c r="DC7" s="1" t="s">
        <v>0</v>
      </c>
      <c r="DD7" s="1" t="s">
        <v>0</v>
      </c>
      <c r="DE7" s="1" t="s">
        <v>0</v>
      </c>
      <c r="DF7" s="1" t="s">
        <v>0</v>
      </c>
      <c r="DG7" s="1" t="s">
        <v>0</v>
      </c>
      <c r="DH7" s="1" t="s">
        <v>0</v>
      </c>
      <c r="DI7" s="1" t="s">
        <v>0</v>
      </c>
      <c r="DJ7" s="1" t="s">
        <v>0</v>
      </c>
      <c r="DK7" s="1" t="s">
        <v>0</v>
      </c>
      <c r="DL7" s="1" t="s">
        <v>0</v>
      </c>
      <c r="DM7" s="1" t="s">
        <v>0</v>
      </c>
      <c r="DN7" s="1" t="s">
        <v>0</v>
      </c>
      <c r="DO7" s="1" t="s">
        <v>0</v>
      </c>
      <c r="DP7" s="1" t="s">
        <v>0</v>
      </c>
      <c r="DQ7" s="1" t="s">
        <v>0</v>
      </c>
      <c r="DR7" s="1">
        <v>5</v>
      </c>
      <c r="DS7" s="1" t="s">
        <v>0</v>
      </c>
      <c r="DT7" s="1" t="s">
        <v>0</v>
      </c>
      <c r="DU7" s="1" t="s">
        <v>0</v>
      </c>
      <c r="DV7" s="1" t="s">
        <v>0</v>
      </c>
      <c r="DW7" s="1" t="s">
        <v>0</v>
      </c>
      <c r="DX7" s="1" t="s">
        <v>0</v>
      </c>
      <c r="DY7" s="1" t="s">
        <v>0</v>
      </c>
      <c r="DZ7" s="7">
        <f t="shared" ref="DZ7:DZ12" si="4">SUM(EA7:FE7)</f>
        <v>0</v>
      </c>
      <c r="EA7" s="1" t="s">
        <v>0</v>
      </c>
      <c r="EB7" s="1" t="s">
        <v>0</v>
      </c>
      <c r="EC7" s="1" t="s">
        <v>0</v>
      </c>
      <c r="ED7" s="1" t="s">
        <v>0</v>
      </c>
      <c r="EE7" s="1" t="s">
        <v>0</v>
      </c>
      <c r="EF7" s="1" t="s">
        <v>0</v>
      </c>
      <c r="EG7" s="1" t="s">
        <v>0</v>
      </c>
      <c r="EH7" s="1" t="s">
        <v>0</v>
      </c>
      <c r="EI7" s="1" t="s">
        <v>0</v>
      </c>
      <c r="EJ7" s="1" t="s">
        <v>0</v>
      </c>
      <c r="EK7" s="1" t="s">
        <v>0</v>
      </c>
      <c r="EL7" s="1" t="s">
        <v>0</v>
      </c>
      <c r="EM7" s="1" t="s">
        <v>0</v>
      </c>
      <c r="EN7" s="1" t="s">
        <v>0</v>
      </c>
      <c r="EO7" s="1" t="s">
        <v>0</v>
      </c>
      <c r="EP7" s="1" t="s">
        <v>0</v>
      </c>
      <c r="EQ7" s="1" t="s">
        <v>0</v>
      </c>
      <c r="ER7" s="1" t="s">
        <v>0</v>
      </c>
      <c r="ES7" s="1" t="s">
        <v>0</v>
      </c>
      <c r="ET7" s="1" t="s">
        <v>0</v>
      </c>
      <c r="EU7" s="1" t="s">
        <v>0</v>
      </c>
      <c r="EV7" s="1" t="s">
        <v>0</v>
      </c>
      <c r="EW7" s="1" t="s">
        <v>0</v>
      </c>
      <c r="EX7" s="1" t="s">
        <v>0</v>
      </c>
      <c r="EY7" s="1" t="s">
        <v>0</v>
      </c>
      <c r="EZ7" s="1" t="s">
        <v>0</v>
      </c>
      <c r="FA7" s="1" t="s">
        <v>0</v>
      </c>
      <c r="FB7" s="1" t="s">
        <v>0</v>
      </c>
      <c r="FC7" s="1" t="s">
        <v>0</v>
      </c>
      <c r="FD7" s="1" t="s">
        <v>0</v>
      </c>
      <c r="FE7" s="1" t="s">
        <v>0</v>
      </c>
      <c r="FF7" s="7">
        <v>19</v>
      </c>
      <c r="FG7" s="7">
        <v>19</v>
      </c>
      <c r="FH7" s="8">
        <v>0.12258064516129032</v>
      </c>
      <c r="FI7" s="7">
        <v>0</v>
      </c>
    </row>
    <row r="8" spans="1:165">
      <c r="A8" s="1" t="s">
        <v>15</v>
      </c>
      <c r="B8" s="1" t="s">
        <v>21</v>
      </c>
      <c r="C8" s="1" t="s">
        <v>17</v>
      </c>
      <c r="D8" s="7">
        <f t="shared" si="0"/>
        <v>5</v>
      </c>
      <c r="E8" s="1" t="s">
        <v>0</v>
      </c>
      <c r="F8" s="1">
        <v>5</v>
      </c>
      <c r="G8" s="1" t="s">
        <v>0</v>
      </c>
      <c r="H8" s="1" t="s">
        <v>0</v>
      </c>
      <c r="I8" s="1">
        <v>2</v>
      </c>
      <c r="J8" s="1" t="s">
        <v>0</v>
      </c>
      <c r="K8" s="1" t="s">
        <v>0</v>
      </c>
      <c r="L8" s="1" t="s">
        <v>0</v>
      </c>
      <c r="M8" s="1" t="s">
        <v>0</v>
      </c>
      <c r="N8" s="1">
        <v>1</v>
      </c>
      <c r="O8" s="1">
        <v>1</v>
      </c>
      <c r="P8" s="1">
        <v>-1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>
        <v>-1</v>
      </c>
      <c r="Y8" s="1">
        <v>-1</v>
      </c>
      <c r="Z8" s="1" t="s">
        <v>0</v>
      </c>
      <c r="AA8" s="1" t="s">
        <v>0</v>
      </c>
      <c r="AB8" s="1" t="s">
        <v>0</v>
      </c>
      <c r="AC8" s="1">
        <v>-1</v>
      </c>
      <c r="AD8" s="1" t="s">
        <v>0</v>
      </c>
      <c r="AE8" s="1" t="s">
        <v>0</v>
      </c>
      <c r="AF8" s="1" t="s">
        <v>0</v>
      </c>
      <c r="AG8" s="1" t="s">
        <v>0</v>
      </c>
      <c r="AH8" s="1" t="s">
        <v>0</v>
      </c>
      <c r="AI8" s="7">
        <f t="shared" si="1"/>
        <v>2</v>
      </c>
      <c r="AJ8" s="1" t="s">
        <v>0</v>
      </c>
      <c r="AK8" s="1" t="s">
        <v>0</v>
      </c>
      <c r="AL8" s="1" t="s">
        <v>0</v>
      </c>
      <c r="AM8" s="1" t="s">
        <v>0</v>
      </c>
      <c r="AN8" s="1" t="s">
        <v>0</v>
      </c>
      <c r="AO8" s="1" t="s">
        <v>0</v>
      </c>
      <c r="AP8" s="1" t="s">
        <v>0</v>
      </c>
      <c r="AQ8" s="1">
        <v>1</v>
      </c>
      <c r="AR8" s="1" t="s">
        <v>0</v>
      </c>
      <c r="AS8" s="1" t="s">
        <v>0</v>
      </c>
      <c r="AT8" s="1" t="s">
        <v>0</v>
      </c>
      <c r="AU8" s="1" t="s">
        <v>0</v>
      </c>
      <c r="AV8" s="1" t="s">
        <v>0</v>
      </c>
      <c r="AW8" s="1">
        <v>1</v>
      </c>
      <c r="AX8" s="1" t="s">
        <v>0</v>
      </c>
      <c r="AY8" s="1" t="s">
        <v>0</v>
      </c>
      <c r="AZ8" s="1" t="s">
        <v>0</v>
      </c>
      <c r="BA8" s="1" t="s">
        <v>0</v>
      </c>
      <c r="BB8" s="1" t="s">
        <v>0</v>
      </c>
      <c r="BC8" s="1" t="s">
        <v>0</v>
      </c>
      <c r="BD8" s="1" t="s">
        <v>0</v>
      </c>
      <c r="BE8" s="1" t="s">
        <v>0</v>
      </c>
      <c r="BF8" s="1" t="s">
        <v>0</v>
      </c>
      <c r="BG8" s="1" t="s">
        <v>0</v>
      </c>
      <c r="BH8" s="1" t="s">
        <v>0</v>
      </c>
      <c r="BI8" s="1" t="s">
        <v>0</v>
      </c>
      <c r="BJ8" s="1" t="s">
        <v>0</v>
      </c>
      <c r="BK8" s="1" t="s">
        <v>0</v>
      </c>
      <c r="BL8" s="1" t="s">
        <v>0</v>
      </c>
      <c r="BM8" s="1" t="s">
        <v>0</v>
      </c>
      <c r="BN8" s="1" t="s">
        <v>0</v>
      </c>
      <c r="BO8" s="7">
        <f t="shared" si="2"/>
        <v>0</v>
      </c>
      <c r="BP8" s="1" t="s">
        <v>0</v>
      </c>
      <c r="BQ8" s="1" t="s">
        <v>0</v>
      </c>
      <c r="BR8" s="1" t="s">
        <v>0</v>
      </c>
      <c r="BS8" s="1" t="s">
        <v>0</v>
      </c>
      <c r="BT8" s="1" t="s">
        <v>0</v>
      </c>
      <c r="BU8" s="1" t="s">
        <v>0</v>
      </c>
      <c r="BV8" s="1" t="s">
        <v>0</v>
      </c>
      <c r="BW8" s="1" t="s">
        <v>0</v>
      </c>
      <c r="BX8" s="1" t="s">
        <v>0</v>
      </c>
      <c r="BY8" s="1" t="s">
        <v>0</v>
      </c>
      <c r="BZ8" s="1" t="s">
        <v>0</v>
      </c>
      <c r="CA8" s="1" t="s">
        <v>0</v>
      </c>
      <c r="CB8" s="1" t="s">
        <v>0</v>
      </c>
      <c r="CC8" s="1" t="s">
        <v>0</v>
      </c>
      <c r="CD8" s="1" t="s">
        <v>0</v>
      </c>
      <c r="CE8" s="1" t="s">
        <v>0</v>
      </c>
      <c r="CF8" s="1" t="s">
        <v>0</v>
      </c>
      <c r="CG8" s="1" t="s">
        <v>0</v>
      </c>
      <c r="CH8" s="1" t="s">
        <v>0</v>
      </c>
      <c r="CI8" s="1" t="s">
        <v>0</v>
      </c>
      <c r="CJ8" s="1" t="s">
        <v>0</v>
      </c>
      <c r="CK8" s="1" t="s">
        <v>0</v>
      </c>
      <c r="CL8" s="1" t="s">
        <v>0</v>
      </c>
      <c r="CM8" s="1" t="s">
        <v>0</v>
      </c>
      <c r="CN8" s="1" t="s">
        <v>0</v>
      </c>
      <c r="CO8" s="1" t="s">
        <v>0</v>
      </c>
      <c r="CP8" s="1" t="s">
        <v>0</v>
      </c>
      <c r="CQ8" s="1" t="s">
        <v>0</v>
      </c>
      <c r="CR8" s="1" t="s">
        <v>0</v>
      </c>
      <c r="CS8" s="1" t="s">
        <v>0</v>
      </c>
      <c r="CT8" s="7">
        <f t="shared" si="3"/>
        <v>9</v>
      </c>
      <c r="CU8" s="1" t="s">
        <v>0</v>
      </c>
      <c r="CV8" s="1" t="s">
        <v>0</v>
      </c>
      <c r="CW8" s="1" t="s">
        <v>0</v>
      </c>
      <c r="CX8" s="1" t="s">
        <v>0</v>
      </c>
      <c r="CY8" s="1" t="s">
        <v>0</v>
      </c>
      <c r="CZ8" s="1" t="s">
        <v>0</v>
      </c>
      <c r="DA8" s="1" t="s">
        <v>0</v>
      </c>
      <c r="DB8" s="1" t="s">
        <v>0</v>
      </c>
      <c r="DC8" s="1" t="s">
        <v>0</v>
      </c>
      <c r="DD8" s="1" t="s">
        <v>0</v>
      </c>
      <c r="DE8" s="1" t="s">
        <v>0</v>
      </c>
      <c r="DF8" s="1" t="s">
        <v>0</v>
      </c>
      <c r="DG8" s="1" t="s">
        <v>0</v>
      </c>
      <c r="DH8" s="1" t="s">
        <v>0</v>
      </c>
      <c r="DI8" s="1" t="s">
        <v>0</v>
      </c>
      <c r="DJ8" s="1" t="s">
        <v>0</v>
      </c>
      <c r="DK8" s="1" t="s">
        <v>0</v>
      </c>
      <c r="DL8" s="1" t="s">
        <v>0</v>
      </c>
      <c r="DM8" s="1" t="s">
        <v>0</v>
      </c>
      <c r="DN8" s="1" t="s">
        <v>0</v>
      </c>
      <c r="DO8" s="1" t="s">
        <v>0</v>
      </c>
      <c r="DP8" s="1" t="s">
        <v>0</v>
      </c>
      <c r="DQ8" s="1" t="s">
        <v>0</v>
      </c>
      <c r="DR8" s="1">
        <v>5</v>
      </c>
      <c r="DS8" s="1" t="s">
        <v>0</v>
      </c>
      <c r="DT8" s="1">
        <v>5</v>
      </c>
      <c r="DU8" s="1" t="s">
        <v>0</v>
      </c>
      <c r="DV8" s="1" t="s">
        <v>0</v>
      </c>
      <c r="DW8" s="1" t="s">
        <v>0</v>
      </c>
      <c r="DX8" s="1">
        <v>-1</v>
      </c>
      <c r="DY8" s="1" t="s">
        <v>0</v>
      </c>
      <c r="DZ8" s="7">
        <f t="shared" si="4"/>
        <v>2</v>
      </c>
      <c r="EA8" s="1" t="s">
        <v>0</v>
      </c>
      <c r="EB8" s="1" t="s">
        <v>0</v>
      </c>
      <c r="EC8" s="1" t="s">
        <v>0</v>
      </c>
      <c r="ED8" s="1" t="s">
        <v>0</v>
      </c>
      <c r="EE8" s="1" t="s">
        <v>0</v>
      </c>
      <c r="EF8" s="1">
        <v>2</v>
      </c>
      <c r="EG8" s="1" t="s">
        <v>0</v>
      </c>
      <c r="EH8" s="1" t="s">
        <v>0</v>
      </c>
      <c r="EI8" s="1" t="s">
        <v>0</v>
      </c>
      <c r="EJ8" s="1" t="s">
        <v>0</v>
      </c>
      <c r="EK8" s="1" t="s">
        <v>0</v>
      </c>
      <c r="EL8" s="1" t="s">
        <v>0</v>
      </c>
      <c r="EM8" s="1" t="s">
        <v>0</v>
      </c>
      <c r="EN8" s="1" t="s">
        <v>0</v>
      </c>
      <c r="EO8" s="1" t="s">
        <v>0</v>
      </c>
      <c r="EP8" s="1" t="s">
        <v>0</v>
      </c>
      <c r="EQ8" s="1" t="s">
        <v>0</v>
      </c>
      <c r="ER8" s="1" t="s">
        <v>0</v>
      </c>
      <c r="ES8" s="1" t="s">
        <v>0</v>
      </c>
      <c r="ET8" s="1" t="s">
        <v>0</v>
      </c>
      <c r="EU8" s="1" t="s">
        <v>0</v>
      </c>
      <c r="EV8" s="1" t="s">
        <v>0</v>
      </c>
      <c r="EW8" s="1" t="s">
        <v>0</v>
      </c>
      <c r="EX8" s="1" t="s">
        <v>0</v>
      </c>
      <c r="EY8" s="1" t="s">
        <v>0</v>
      </c>
      <c r="EZ8" s="1" t="s">
        <v>0</v>
      </c>
      <c r="FA8" s="1" t="s">
        <v>0</v>
      </c>
      <c r="FB8" s="1" t="s">
        <v>0</v>
      </c>
      <c r="FC8" s="1" t="s">
        <v>0</v>
      </c>
      <c r="FD8" s="1" t="s">
        <v>0</v>
      </c>
      <c r="FE8" s="1" t="s">
        <v>0</v>
      </c>
      <c r="FF8" s="7">
        <v>18</v>
      </c>
      <c r="FG8" s="7">
        <v>18</v>
      </c>
      <c r="FH8" s="8">
        <v>0.11612903225806452</v>
      </c>
      <c r="FI8" s="7">
        <v>0</v>
      </c>
    </row>
    <row r="9" spans="1:165">
      <c r="A9" s="1" t="s">
        <v>15</v>
      </c>
      <c r="B9" s="1" t="s">
        <v>22</v>
      </c>
      <c r="C9" s="1" t="s">
        <v>17</v>
      </c>
      <c r="D9" s="7">
        <f t="shared" si="0"/>
        <v>16</v>
      </c>
      <c r="E9" s="1" t="s">
        <v>0</v>
      </c>
      <c r="F9" s="1">
        <v>2</v>
      </c>
      <c r="G9" s="1">
        <v>2</v>
      </c>
      <c r="H9" s="1" t="s">
        <v>0</v>
      </c>
      <c r="I9" s="1" t="s">
        <v>0</v>
      </c>
      <c r="J9" s="1">
        <v>2</v>
      </c>
      <c r="K9" s="1" t="s">
        <v>0</v>
      </c>
      <c r="L9" s="1" t="s">
        <v>0</v>
      </c>
      <c r="M9" s="1" t="s">
        <v>0</v>
      </c>
      <c r="N9" s="1">
        <v>1</v>
      </c>
      <c r="O9" s="1">
        <v>-1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>
        <v>-1</v>
      </c>
      <c r="X9" s="1">
        <v>2</v>
      </c>
      <c r="Y9" s="1">
        <v>-1</v>
      </c>
      <c r="Z9" s="1" t="s">
        <v>0</v>
      </c>
      <c r="AA9" s="1">
        <v>15</v>
      </c>
      <c r="AB9" s="1">
        <v>-2</v>
      </c>
      <c r="AC9" s="1">
        <v>-1</v>
      </c>
      <c r="AD9" s="1">
        <v>-1</v>
      </c>
      <c r="AE9" s="1">
        <v>-1</v>
      </c>
      <c r="AF9" s="1" t="s">
        <v>0</v>
      </c>
      <c r="AG9" s="1" t="s">
        <v>0</v>
      </c>
      <c r="AH9" s="1" t="s">
        <v>0</v>
      </c>
      <c r="AI9" s="7">
        <f t="shared" si="1"/>
        <v>0</v>
      </c>
      <c r="AJ9" s="1" t="s">
        <v>0</v>
      </c>
      <c r="AK9" s="1" t="s">
        <v>0</v>
      </c>
      <c r="AL9" s="1" t="s">
        <v>0</v>
      </c>
      <c r="AM9" s="1" t="s">
        <v>0</v>
      </c>
      <c r="AN9" s="1" t="s">
        <v>0</v>
      </c>
      <c r="AO9" s="1" t="s">
        <v>0</v>
      </c>
      <c r="AP9" s="1" t="s">
        <v>0</v>
      </c>
      <c r="AQ9" s="1" t="s">
        <v>0</v>
      </c>
      <c r="AR9" s="1" t="s">
        <v>0</v>
      </c>
      <c r="AS9" s="1" t="s">
        <v>0</v>
      </c>
      <c r="AT9" s="1" t="s">
        <v>0</v>
      </c>
      <c r="AU9" s="1" t="s">
        <v>0</v>
      </c>
      <c r="AV9" s="1" t="s">
        <v>0</v>
      </c>
      <c r="AW9" s="1" t="s">
        <v>0</v>
      </c>
      <c r="AX9" s="1" t="s">
        <v>0</v>
      </c>
      <c r="AY9" s="1" t="s">
        <v>0</v>
      </c>
      <c r="AZ9" s="1" t="s">
        <v>0</v>
      </c>
      <c r="BA9" s="1" t="s">
        <v>0</v>
      </c>
      <c r="BB9" s="1" t="s">
        <v>0</v>
      </c>
      <c r="BC9" s="1" t="s">
        <v>0</v>
      </c>
      <c r="BD9" s="1" t="s">
        <v>0</v>
      </c>
      <c r="BE9" s="1" t="s">
        <v>0</v>
      </c>
      <c r="BF9" s="1" t="s">
        <v>0</v>
      </c>
      <c r="BG9" s="1" t="s">
        <v>0</v>
      </c>
      <c r="BH9" s="1" t="s">
        <v>0</v>
      </c>
      <c r="BI9" s="1" t="s">
        <v>0</v>
      </c>
      <c r="BJ9" s="1" t="s">
        <v>0</v>
      </c>
      <c r="BK9" s="1" t="s">
        <v>0</v>
      </c>
      <c r="BL9" s="1" t="s">
        <v>0</v>
      </c>
      <c r="BM9" s="1" t="s">
        <v>0</v>
      </c>
      <c r="BN9" s="1" t="s">
        <v>0</v>
      </c>
      <c r="BO9" s="7">
        <f t="shared" si="2"/>
        <v>0</v>
      </c>
      <c r="BP9" s="1" t="s">
        <v>0</v>
      </c>
      <c r="BQ9" s="1" t="s">
        <v>0</v>
      </c>
      <c r="BR9" s="1" t="s">
        <v>0</v>
      </c>
      <c r="BS9" s="1" t="s">
        <v>0</v>
      </c>
      <c r="BT9" s="1" t="s">
        <v>0</v>
      </c>
      <c r="BU9" s="1" t="s">
        <v>0</v>
      </c>
      <c r="BV9" s="1" t="s">
        <v>0</v>
      </c>
      <c r="BW9" s="1" t="s">
        <v>0</v>
      </c>
      <c r="BX9" s="1" t="s">
        <v>0</v>
      </c>
      <c r="BY9" s="1" t="s">
        <v>0</v>
      </c>
      <c r="BZ9" s="1" t="s">
        <v>0</v>
      </c>
      <c r="CA9" s="1" t="s">
        <v>0</v>
      </c>
      <c r="CB9" s="1" t="s">
        <v>0</v>
      </c>
      <c r="CC9" s="1" t="s">
        <v>0</v>
      </c>
      <c r="CD9" s="1" t="s">
        <v>0</v>
      </c>
      <c r="CE9" s="1" t="s">
        <v>0</v>
      </c>
      <c r="CF9" s="1" t="s">
        <v>0</v>
      </c>
      <c r="CG9" s="1" t="s">
        <v>0</v>
      </c>
      <c r="CH9" s="1" t="s">
        <v>0</v>
      </c>
      <c r="CI9" s="1" t="s">
        <v>0</v>
      </c>
      <c r="CJ9" s="1" t="s">
        <v>0</v>
      </c>
      <c r="CK9" s="1" t="s">
        <v>0</v>
      </c>
      <c r="CL9" s="1" t="s">
        <v>0</v>
      </c>
      <c r="CM9" s="1" t="s">
        <v>0</v>
      </c>
      <c r="CN9" s="1" t="s">
        <v>0</v>
      </c>
      <c r="CO9" s="1" t="s">
        <v>0</v>
      </c>
      <c r="CP9" s="1" t="s">
        <v>0</v>
      </c>
      <c r="CQ9" s="1" t="s">
        <v>0</v>
      </c>
      <c r="CR9" s="1" t="s">
        <v>0</v>
      </c>
      <c r="CS9" s="1" t="s">
        <v>0</v>
      </c>
      <c r="CT9" s="7">
        <f t="shared" si="3"/>
        <v>1</v>
      </c>
      <c r="CU9" s="1" t="s">
        <v>0</v>
      </c>
      <c r="CV9" s="1" t="s">
        <v>0</v>
      </c>
      <c r="CW9" s="1" t="s">
        <v>0</v>
      </c>
      <c r="CX9" s="1" t="s">
        <v>0</v>
      </c>
      <c r="CY9" s="1" t="s">
        <v>0</v>
      </c>
      <c r="CZ9" s="1" t="s">
        <v>0</v>
      </c>
      <c r="DA9" s="1" t="s">
        <v>0</v>
      </c>
      <c r="DB9" s="1" t="s">
        <v>0</v>
      </c>
      <c r="DC9" s="1" t="s">
        <v>0</v>
      </c>
      <c r="DD9" s="1" t="s">
        <v>0</v>
      </c>
      <c r="DE9" s="1" t="s">
        <v>0</v>
      </c>
      <c r="DF9" s="1" t="s">
        <v>0</v>
      </c>
      <c r="DG9" s="1" t="s">
        <v>0</v>
      </c>
      <c r="DH9" s="1" t="s">
        <v>0</v>
      </c>
      <c r="DI9" s="1" t="s">
        <v>0</v>
      </c>
      <c r="DJ9" s="1" t="s">
        <v>0</v>
      </c>
      <c r="DK9" s="1" t="s">
        <v>0</v>
      </c>
      <c r="DL9" s="1" t="s">
        <v>0</v>
      </c>
      <c r="DM9" s="1" t="s">
        <v>0</v>
      </c>
      <c r="DN9" s="1" t="s">
        <v>0</v>
      </c>
      <c r="DO9" s="1" t="s">
        <v>0</v>
      </c>
      <c r="DP9" s="1" t="s">
        <v>0</v>
      </c>
      <c r="DQ9" s="1" t="s">
        <v>0</v>
      </c>
      <c r="DR9" s="1">
        <v>1</v>
      </c>
      <c r="DS9" s="1" t="s">
        <v>0</v>
      </c>
      <c r="DT9" s="1" t="s">
        <v>0</v>
      </c>
      <c r="DU9" s="1" t="s">
        <v>0</v>
      </c>
      <c r="DV9" s="1" t="s">
        <v>0</v>
      </c>
      <c r="DW9" s="1" t="s">
        <v>0</v>
      </c>
      <c r="DX9" s="1" t="s">
        <v>0</v>
      </c>
      <c r="DY9" s="1" t="s">
        <v>0</v>
      </c>
      <c r="DZ9" s="7">
        <f t="shared" si="4"/>
        <v>0</v>
      </c>
      <c r="EA9" s="1" t="s">
        <v>0</v>
      </c>
      <c r="EB9" s="1" t="s">
        <v>0</v>
      </c>
      <c r="EC9" s="1" t="s">
        <v>0</v>
      </c>
      <c r="ED9" s="1" t="s">
        <v>0</v>
      </c>
      <c r="EE9" s="1" t="s">
        <v>0</v>
      </c>
      <c r="EF9" s="1" t="s">
        <v>0</v>
      </c>
      <c r="EG9" s="1" t="s">
        <v>0</v>
      </c>
      <c r="EH9" s="1" t="s">
        <v>0</v>
      </c>
      <c r="EI9" s="1" t="s">
        <v>0</v>
      </c>
      <c r="EJ9" s="1" t="s">
        <v>0</v>
      </c>
      <c r="EK9" s="1" t="s">
        <v>0</v>
      </c>
      <c r="EL9" s="1" t="s">
        <v>0</v>
      </c>
      <c r="EM9" s="1" t="s">
        <v>0</v>
      </c>
      <c r="EN9" s="1" t="s">
        <v>0</v>
      </c>
      <c r="EO9" s="1" t="s">
        <v>0</v>
      </c>
      <c r="EP9" s="1" t="s">
        <v>0</v>
      </c>
      <c r="EQ9" s="1" t="s">
        <v>0</v>
      </c>
      <c r="ER9" s="1" t="s">
        <v>0</v>
      </c>
      <c r="ES9" s="1" t="s">
        <v>0</v>
      </c>
      <c r="ET9" s="1" t="s">
        <v>0</v>
      </c>
      <c r="EU9" s="1" t="s">
        <v>0</v>
      </c>
      <c r="EV9" s="1" t="s">
        <v>0</v>
      </c>
      <c r="EW9" s="1" t="s">
        <v>0</v>
      </c>
      <c r="EX9" s="1" t="s">
        <v>0</v>
      </c>
      <c r="EY9" s="1" t="s">
        <v>0</v>
      </c>
      <c r="EZ9" s="1" t="s">
        <v>0</v>
      </c>
      <c r="FA9" s="1" t="s">
        <v>0</v>
      </c>
      <c r="FB9" s="1" t="s">
        <v>0</v>
      </c>
      <c r="FC9" s="1" t="s">
        <v>0</v>
      </c>
      <c r="FD9" s="1" t="s">
        <v>0</v>
      </c>
      <c r="FE9" s="1" t="s">
        <v>0</v>
      </c>
      <c r="FF9" s="7">
        <v>17</v>
      </c>
      <c r="FG9" s="7">
        <v>17</v>
      </c>
      <c r="FH9" s="8">
        <v>0.10967741935483871</v>
      </c>
      <c r="FI9" s="7">
        <v>0</v>
      </c>
    </row>
    <row r="10" spans="1:165">
      <c r="A10" s="1" t="s">
        <v>15</v>
      </c>
      <c r="B10" s="1" t="s">
        <v>23</v>
      </c>
      <c r="C10" s="1" t="s">
        <v>17</v>
      </c>
      <c r="D10" s="7">
        <f t="shared" si="0"/>
        <v>26</v>
      </c>
      <c r="E10" s="1" t="s">
        <v>0</v>
      </c>
      <c r="F10" s="1">
        <v>4</v>
      </c>
      <c r="G10" s="1">
        <v>3</v>
      </c>
      <c r="H10" s="1" t="s">
        <v>0</v>
      </c>
      <c r="I10" s="1">
        <v>1</v>
      </c>
      <c r="J10" s="1">
        <v>2</v>
      </c>
      <c r="K10" s="1" t="s">
        <v>0</v>
      </c>
      <c r="L10" s="1" t="s">
        <v>0</v>
      </c>
      <c r="M10" s="1" t="s">
        <v>0</v>
      </c>
      <c r="N10" s="1">
        <v>3</v>
      </c>
      <c r="O10" s="1">
        <v>1</v>
      </c>
      <c r="P10" s="1">
        <v>-1</v>
      </c>
      <c r="Q10" s="1">
        <v>1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>
        <v>1</v>
      </c>
      <c r="Y10" s="1" t="s">
        <v>0</v>
      </c>
      <c r="Z10" s="1" t="s">
        <v>0</v>
      </c>
      <c r="AA10" s="1">
        <v>8</v>
      </c>
      <c r="AB10" s="1">
        <v>2</v>
      </c>
      <c r="AC10" s="1">
        <v>2</v>
      </c>
      <c r="AD10" s="1" t="s">
        <v>0</v>
      </c>
      <c r="AE10" s="1">
        <v>-1</v>
      </c>
      <c r="AF10" s="1" t="s">
        <v>0</v>
      </c>
      <c r="AG10" s="1" t="s">
        <v>0</v>
      </c>
      <c r="AH10" s="1" t="s">
        <v>0</v>
      </c>
      <c r="AI10" s="7">
        <f t="shared" si="1"/>
        <v>21</v>
      </c>
      <c r="AJ10" s="1" t="s">
        <v>0</v>
      </c>
      <c r="AK10" s="1" t="s">
        <v>0</v>
      </c>
      <c r="AL10" s="1" t="s">
        <v>0</v>
      </c>
      <c r="AM10" s="1" t="s">
        <v>0</v>
      </c>
      <c r="AN10" s="1" t="s">
        <v>0</v>
      </c>
      <c r="AO10" s="1" t="s">
        <v>0</v>
      </c>
      <c r="AP10" s="1">
        <v>1</v>
      </c>
      <c r="AQ10" s="1" t="s">
        <v>0</v>
      </c>
      <c r="AR10" s="1" t="s">
        <v>0</v>
      </c>
      <c r="AS10" s="1" t="s">
        <v>0</v>
      </c>
      <c r="AT10" s="1" t="s">
        <v>0</v>
      </c>
      <c r="AU10" s="1" t="s">
        <v>0</v>
      </c>
      <c r="AV10" s="1" t="s">
        <v>0</v>
      </c>
      <c r="AW10" s="1">
        <v>1</v>
      </c>
      <c r="AX10" s="1" t="s">
        <v>0</v>
      </c>
      <c r="AY10" s="1">
        <v>6</v>
      </c>
      <c r="AZ10" s="1" t="s">
        <v>0</v>
      </c>
      <c r="BA10" s="1" t="s">
        <v>0</v>
      </c>
      <c r="BB10" s="1" t="s">
        <v>0</v>
      </c>
      <c r="BC10" s="1" t="s">
        <v>0</v>
      </c>
      <c r="BD10" s="1">
        <v>13</v>
      </c>
      <c r="BE10" s="1" t="s">
        <v>0</v>
      </c>
      <c r="BF10" s="1" t="s">
        <v>0</v>
      </c>
      <c r="BG10" s="1" t="s">
        <v>0</v>
      </c>
      <c r="BH10" s="1" t="s">
        <v>0</v>
      </c>
      <c r="BI10" s="1" t="s">
        <v>0</v>
      </c>
      <c r="BJ10" s="1" t="s">
        <v>0</v>
      </c>
      <c r="BK10" s="1" t="s">
        <v>0</v>
      </c>
      <c r="BL10" s="1" t="s">
        <v>0</v>
      </c>
      <c r="BM10" s="1" t="s">
        <v>0</v>
      </c>
      <c r="BN10" s="1" t="s">
        <v>0</v>
      </c>
      <c r="BO10" s="7">
        <f t="shared" si="2"/>
        <v>0</v>
      </c>
      <c r="BP10" s="1" t="s">
        <v>0</v>
      </c>
      <c r="BQ10" s="1" t="s">
        <v>0</v>
      </c>
      <c r="BR10" s="1" t="s">
        <v>0</v>
      </c>
      <c r="BS10" s="1" t="s">
        <v>0</v>
      </c>
      <c r="BT10" s="1" t="s">
        <v>0</v>
      </c>
      <c r="BU10" s="1" t="s">
        <v>0</v>
      </c>
      <c r="BV10" s="1" t="s">
        <v>0</v>
      </c>
      <c r="BW10" s="1" t="s">
        <v>0</v>
      </c>
      <c r="BX10" s="1" t="s">
        <v>0</v>
      </c>
      <c r="BY10" s="1" t="s">
        <v>0</v>
      </c>
      <c r="BZ10" s="1" t="s">
        <v>0</v>
      </c>
      <c r="CA10" s="1" t="s">
        <v>0</v>
      </c>
      <c r="CB10" s="1" t="s">
        <v>0</v>
      </c>
      <c r="CC10" s="1" t="s">
        <v>0</v>
      </c>
      <c r="CD10" s="1" t="s">
        <v>0</v>
      </c>
      <c r="CE10" s="1" t="s">
        <v>0</v>
      </c>
      <c r="CF10" s="1" t="s">
        <v>0</v>
      </c>
      <c r="CG10" s="1" t="s">
        <v>0</v>
      </c>
      <c r="CH10" s="1" t="s">
        <v>0</v>
      </c>
      <c r="CI10" s="1" t="s">
        <v>0</v>
      </c>
      <c r="CJ10" s="1" t="s">
        <v>0</v>
      </c>
      <c r="CK10" s="1" t="s">
        <v>0</v>
      </c>
      <c r="CL10" s="1" t="s">
        <v>0</v>
      </c>
      <c r="CM10" s="1" t="s">
        <v>0</v>
      </c>
      <c r="CN10" s="1" t="s">
        <v>0</v>
      </c>
      <c r="CO10" s="1" t="s">
        <v>0</v>
      </c>
      <c r="CP10" s="1" t="s">
        <v>0</v>
      </c>
      <c r="CQ10" s="1" t="s">
        <v>0</v>
      </c>
      <c r="CR10" s="1" t="s">
        <v>0</v>
      </c>
      <c r="CS10" s="1" t="s">
        <v>0</v>
      </c>
      <c r="CT10" s="7">
        <f t="shared" si="3"/>
        <v>0</v>
      </c>
      <c r="CU10" s="1" t="s">
        <v>0</v>
      </c>
      <c r="CV10" s="1" t="s">
        <v>0</v>
      </c>
      <c r="CW10" s="1" t="s">
        <v>0</v>
      </c>
      <c r="CX10" s="1" t="s">
        <v>0</v>
      </c>
      <c r="CY10" s="1" t="s">
        <v>0</v>
      </c>
      <c r="CZ10" s="1" t="s">
        <v>0</v>
      </c>
      <c r="DA10" s="1" t="s">
        <v>0</v>
      </c>
      <c r="DB10" s="1" t="s">
        <v>0</v>
      </c>
      <c r="DC10" s="1" t="s">
        <v>0</v>
      </c>
      <c r="DD10" s="1" t="s">
        <v>0</v>
      </c>
      <c r="DE10" s="1" t="s">
        <v>0</v>
      </c>
      <c r="DF10" s="1" t="s">
        <v>0</v>
      </c>
      <c r="DG10" s="1" t="s">
        <v>0</v>
      </c>
      <c r="DH10" s="1" t="s">
        <v>0</v>
      </c>
      <c r="DI10" s="1" t="s">
        <v>0</v>
      </c>
      <c r="DJ10" s="1" t="s">
        <v>0</v>
      </c>
      <c r="DK10" s="1" t="s">
        <v>0</v>
      </c>
      <c r="DL10" s="1" t="s">
        <v>0</v>
      </c>
      <c r="DM10" s="1" t="s">
        <v>0</v>
      </c>
      <c r="DN10" s="1" t="s">
        <v>0</v>
      </c>
      <c r="DO10" s="1" t="s">
        <v>0</v>
      </c>
      <c r="DP10" s="1" t="s">
        <v>0</v>
      </c>
      <c r="DQ10" s="1" t="s">
        <v>0</v>
      </c>
      <c r="DR10" s="1" t="s">
        <v>0</v>
      </c>
      <c r="DS10" s="1" t="s">
        <v>0</v>
      </c>
      <c r="DT10" s="1" t="s">
        <v>0</v>
      </c>
      <c r="DU10" s="1" t="s">
        <v>0</v>
      </c>
      <c r="DV10" s="1" t="s">
        <v>0</v>
      </c>
      <c r="DW10" s="1" t="s">
        <v>0</v>
      </c>
      <c r="DX10" s="1" t="s">
        <v>0</v>
      </c>
      <c r="DY10" s="1" t="s">
        <v>0</v>
      </c>
      <c r="DZ10" s="7">
        <f t="shared" si="4"/>
        <v>0</v>
      </c>
      <c r="EA10" s="1" t="s">
        <v>0</v>
      </c>
      <c r="EB10" s="1" t="s">
        <v>0</v>
      </c>
      <c r="EC10" s="1" t="s">
        <v>0</v>
      </c>
      <c r="ED10" s="1" t="s">
        <v>0</v>
      </c>
      <c r="EE10" s="1" t="s">
        <v>0</v>
      </c>
      <c r="EF10" s="1" t="s">
        <v>0</v>
      </c>
      <c r="EG10" s="1" t="s">
        <v>0</v>
      </c>
      <c r="EH10" s="1" t="s">
        <v>0</v>
      </c>
      <c r="EI10" s="1" t="s">
        <v>0</v>
      </c>
      <c r="EJ10" s="1" t="s">
        <v>0</v>
      </c>
      <c r="EK10" s="1" t="s">
        <v>0</v>
      </c>
      <c r="EL10" s="1" t="s">
        <v>0</v>
      </c>
      <c r="EM10" s="1" t="s">
        <v>0</v>
      </c>
      <c r="EN10" s="1" t="s">
        <v>0</v>
      </c>
      <c r="EO10" s="1" t="s">
        <v>0</v>
      </c>
      <c r="EP10" s="1" t="s">
        <v>0</v>
      </c>
      <c r="EQ10" s="1" t="s">
        <v>0</v>
      </c>
      <c r="ER10" s="1" t="s">
        <v>0</v>
      </c>
      <c r="ES10" s="1" t="s">
        <v>0</v>
      </c>
      <c r="ET10" s="1" t="s">
        <v>0</v>
      </c>
      <c r="EU10" s="1" t="s">
        <v>0</v>
      </c>
      <c r="EV10" s="1" t="s">
        <v>0</v>
      </c>
      <c r="EW10" s="1" t="s">
        <v>0</v>
      </c>
      <c r="EX10" s="1" t="s">
        <v>0</v>
      </c>
      <c r="EY10" s="1" t="s">
        <v>0</v>
      </c>
      <c r="EZ10" s="1" t="s">
        <v>0</v>
      </c>
      <c r="FA10" s="1" t="s">
        <v>0</v>
      </c>
      <c r="FB10" s="1" t="s">
        <v>0</v>
      </c>
      <c r="FC10" s="1" t="s">
        <v>0</v>
      </c>
      <c r="FD10" s="1" t="s">
        <v>0</v>
      </c>
      <c r="FE10" s="1" t="s">
        <v>0</v>
      </c>
      <c r="FF10" s="7">
        <v>47</v>
      </c>
      <c r="FG10" s="7">
        <v>47</v>
      </c>
      <c r="FH10" s="8">
        <v>0.3032258064516129</v>
      </c>
      <c r="FI10" s="7">
        <v>0</v>
      </c>
    </row>
    <row r="11" spans="1:165">
      <c r="A11" s="1" t="s">
        <v>15</v>
      </c>
      <c r="B11" s="1" t="s">
        <v>24</v>
      </c>
      <c r="C11" s="1" t="s">
        <v>17</v>
      </c>
      <c r="D11" s="7">
        <f t="shared" si="0"/>
        <v>4</v>
      </c>
      <c r="E11" s="1" t="s">
        <v>0</v>
      </c>
      <c r="F11" s="1">
        <v>2</v>
      </c>
      <c r="G11" s="1">
        <v>1</v>
      </c>
      <c r="H11" s="1" t="s">
        <v>0</v>
      </c>
      <c r="I11" s="1" t="s">
        <v>0</v>
      </c>
      <c r="J11" s="1">
        <v>2</v>
      </c>
      <c r="K11" s="1" t="s">
        <v>0</v>
      </c>
      <c r="L11" s="1" t="s">
        <v>0</v>
      </c>
      <c r="M11" s="1" t="s">
        <v>0</v>
      </c>
      <c r="N11" s="1" t="s">
        <v>0</v>
      </c>
      <c r="O11" s="1">
        <v>1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  <c r="Y11" s="1" t="s">
        <v>0</v>
      </c>
      <c r="Z11" s="1" t="s">
        <v>0</v>
      </c>
      <c r="AA11" s="1">
        <v>1</v>
      </c>
      <c r="AB11" s="1" t="s">
        <v>0</v>
      </c>
      <c r="AC11" s="1">
        <v>-3</v>
      </c>
      <c r="AD11" s="1" t="s">
        <v>0</v>
      </c>
      <c r="AE11" s="1" t="s">
        <v>0</v>
      </c>
      <c r="AF11" s="1" t="s">
        <v>0</v>
      </c>
      <c r="AG11" s="1" t="s">
        <v>0</v>
      </c>
      <c r="AH11" s="1" t="s">
        <v>0</v>
      </c>
      <c r="AI11" s="7">
        <f t="shared" si="1"/>
        <v>0</v>
      </c>
      <c r="AJ11" s="1" t="s">
        <v>0</v>
      </c>
      <c r="AK11" s="1" t="s">
        <v>0</v>
      </c>
      <c r="AL11" s="1" t="s">
        <v>0</v>
      </c>
      <c r="AM11" s="1" t="s">
        <v>0</v>
      </c>
      <c r="AN11" s="1" t="s">
        <v>0</v>
      </c>
      <c r="AO11" s="1" t="s">
        <v>0</v>
      </c>
      <c r="AP11" s="1" t="s">
        <v>0</v>
      </c>
      <c r="AQ11" s="1" t="s">
        <v>0</v>
      </c>
      <c r="AR11" s="1" t="s">
        <v>0</v>
      </c>
      <c r="AS11" s="1" t="s">
        <v>0</v>
      </c>
      <c r="AT11" s="1" t="s">
        <v>0</v>
      </c>
      <c r="AU11" s="1" t="s">
        <v>0</v>
      </c>
      <c r="AV11" s="1" t="s">
        <v>0</v>
      </c>
      <c r="AW11" s="1" t="s">
        <v>0</v>
      </c>
      <c r="AX11" s="1" t="s">
        <v>0</v>
      </c>
      <c r="AY11" s="1" t="s">
        <v>0</v>
      </c>
      <c r="AZ11" s="1" t="s">
        <v>0</v>
      </c>
      <c r="BA11" s="1" t="s">
        <v>0</v>
      </c>
      <c r="BB11" s="1" t="s">
        <v>0</v>
      </c>
      <c r="BC11" s="1" t="s">
        <v>0</v>
      </c>
      <c r="BD11" s="1" t="s">
        <v>0</v>
      </c>
      <c r="BE11" s="1" t="s">
        <v>0</v>
      </c>
      <c r="BF11" s="1" t="s">
        <v>0</v>
      </c>
      <c r="BG11" s="1" t="s">
        <v>0</v>
      </c>
      <c r="BH11" s="1" t="s">
        <v>0</v>
      </c>
      <c r="BI11" s="1" t="s">
        <v>0</v>
      </c>
      <c r="BJ11" s="1" t="s">
        <v>0</v>
      </c>
      <c r="BK11" s="1" t="s">
        <v>0</v>
      </c>
      <c r="BL11" s="1" t="s">
        <v>0</v>
      </c>
      <c r="BM11" s="1" t="s">
        <v>0</v>
      </c>
      <c r="BN11" s="1" t="s">
        <v>0</v>
      </c>
      <c r="BO11" s="7">
        <f t="shared" si="2"/>
        <v>0</v>
      </c>
      <c r="BP11" s="1" t="s">
        <v>0</v>
      </c>
      <c r="BQ11" s="1" t="s">
        <v>0</v>
      </c>
      <c r="BR11" s="1" t="s">
        <v>0</v>
      </c>
      <c r="BS11" s="1" t="s">
        <v>0</v>
      </c>
      <c r="BT11" s="1" t="s">
        <v>0</v>
      </c>
      <c r="BU11" s="1" t="s">
        <v>0</v>
      </c>
      <c r="BV11" s="1" t="s">
        <v>0</v>
      </c>
      <c r="BW11" s="1" t="s">
        <v>0</v>
      </c>
      <c r="BX11" s="1" t="s">
        <v>0</v>
      </c>
      <c r="BY11" s="1" t="s">
        <v>0</v>
      </c>
      <c r="BZ11" s="1" t="s">
        <v>0</v>
      </c>
      <c r="CA11" s="1" t="s">
        <v>0</v>
      </c>
      <c r="CB11" s="1" t="s">
        <v>0</v>
      </c>
      <c r="CC11" s="1" t="s">
        <v>0</v>
      </c>
      <c r="CD11" s="1" t="s">
        <v>0</v>
      </c>
      <c r="CE11" s="1" t="s">
        <v>0</v>
      </c>
      <c r="CF11" s="1" t="s">
        <v>0</v>
      </c>
      <c r="CG11" s="1" t="s">
        <v>0</v>
      </c>
      <c r="CH11" s="1" t="s">
        <v>0</v>
      </c>
      <c r="CI11" s="1" t="s">
        <v>0</v>
      </c>
      <c r="CJ11" s="1" t="s">
        <v>0</v>
      </c>
      <c r="CK11" s="1" t="s">
        <v>0</v>
      </c>
      <c r="CL11" s="1" t="s">
        <v>0</v>
      </c>
      <c r="CM11" s="1" t="s">
        <v>0</v>
      </c>
      <c r="CN11" s="1" t="s">
        <v>0</v>
      </c>
      <c r="CO11" s="1" t="s">
        <v>0</v>
      </c>
      <c r="CP11" s="1" t="s">
        <v>0</v>
      </c>
      <c r="CQ11" s="1" t="s">
        <v>0</v>
      </c>
      <c r="CR11" s="1" t="s">
        <v>0</v>
      </c>
      <c r="CS11" s="1" t="s">
        <v>0</v>
      </c>
      <c r="CT11" s="7">
        <f t="shared" si="3"/>
        <v>0</v>
      </c>
      <c r="CU11" s="1" t="s">
        <v>0</v>
      </c>
      <c r="CV11" s="1" t="s">
        <v>0</v>
      </c>
      <c r="CW11" s="1" t="s">
        <v>0</v>
      </c>
      <c r="CX11" s="1" t="s">
        <v>0</v>
      </c>
      <c r="CY11" s="1" t="s">
        <v>0</v>
      </c>
      <c r="CZ11" s="1" t="s">
        <v>0</v>
      </c>
      <c r="DA11" s="1" t="s">
        <v>0</v>
      </c>
      <c r="DB11" s="1" t="s">
        <v>0</v>
      </c>
      <c r="DC11" s="1" t="s">
        <v>0</v>
      </c>
      <c r="DD11" s="1" t="s">
        <v>0</v>
      </c>
      <c r="DE11" s="1" t="s">
        <v>0</v>
      </c>
      <c r="DF11" s="1" t="s">
        <v>0</v>
      </c>
      <c r="DG11" s="1" t="s">
        <v>0</v>
      </c>
      <c r="DH11" s="1" t="s">
        <v>0</v>
      </c>
      <c r="DI11" s="1" t="s">
        <v>0</v>
      </c>
      <c r="DJ11" s="1" t="s">
        <v>0</v>
      </c>
      <c r="DK11" s="1" t="s">
        <v>0</v>
      </c>
      <c r="DL11" s="1" t="s">
        <v>0</v>
      </c>
      <c r="DM11" s="1" t="s">
        <v>0</v>
      </c>
      <c r="DN11" s="1" t="s">
        <v>0</v>
      </c>
      <c r="DO11" s="1" t="s">
        <v>0</v>
      </c>
      <c r="DP11" s="1" t="s">
        <v>0</v>
      </c>
      <c r="DQ11" s="1" t="s">
        <v>0</v>
      </c>
      <c r="DR11" s="1" t="s">
        <v>0</v>
      </c>
      <c r="DS11" s="1" t="s">
        <v>0</v>
      </c>
      <c r="DT11" s="1" t="s">
        <v>0</v>
      </c>
      <c r="DU11" s="1" t="s">
        <v>0</v>
      </c>
      <c r="DV11" s="1" t="s">
        <v>0</v>
      </c>
      <c r="DW11" s="1" t="s">
        <v>0</v>
      </c>
      <c r="DX11" s="1" t="s">
        <v>0</v>
      </c>
      <c r="DY11" s="1" t="s">
        <v>0</v>
      </c>
      <c r="DZ11" s="7">
        <f t="shared" si="4"/>
        <v>1</v>
      </c>
      <c r="EA11" s="1" t="s">
        <v>0</v>
      </c>
      <c r="EB11" s="1" t="s">
        <v>0</v>
      </c>
      <c r="EC11" s="1" t="s">
        <v>0</v>
      </c>
      <c r="ED11" s="1" t="s">
        <v>0</v>
      </c>
      <c r="EE11" s="1" t="s">
        <v>0</v>
      </c>
      <c r="EF11" s="1" t="s">
        <v>0</v>
      </c>
      <c r="EG11" s="1" t="s">
        <v>0</v>
      </c>
      <c r="EH11" s="1" t="s">
        <v>0</v>
      </c>
      <c r="EI11" s="1" t="s">
        <v>0</v>
      </c>
      <c r="EJ11" s="1">
        <v>1</v>
      </c>
      <c r="EK11" s="1" t="s">
        <v>0</v>
      </c>
      <c r="EL11" s="1" t="s">
        <v>0</v>
      </c>
      <c r="EM11" s="1" t="s">
        <v>0</v>
      </c>
      <c r="EN11" s="1" t="s">
        <v>0</v>
      </c>
      <c r="EO11" s="1" t="s">
        <v>0</v>
      </c>
      <c r="EP11" s="1" t="s">
        <v>0</v>
      </c>
      <c r="EQ11" s="1" t="s">
        <v>0</v>
      </c>
      <c r="ER11" s="1" t="s">
        <v>0</v>
      </c>
      <c r="ES11" s="1" t="s">
        <v>0</v>
      </c>
      <c r="ET11" s="1" t="s">
        <v>0</v>
      </c>
      <c r="EU11" s="1" t="s">
        <v>0</v>
      </c>
      <c r="EV11" s="1" t="s">
        <v>0</v>
      </c>
      <c r="EW11" s="1" t="s">
        <v>0</v>
      </c>
      <c r="EX11" s="1" t="s">
        <v>0</v>
      </c>
      <c r="EY11" s="1" t="s">
        <v>0</v>
      </c>
      <c r="EZ11" s="1" t="s">
        <v>0</v>
      </c>
      <c r="FA11" s="1" t="s">
        <v>0</v>
      </c>
      <c r="FB11" s="1" t="s">
        <v>0</v>
      </c>
      <c r="FC11" s="1" t="s">
        <v>0</v>
      </c>
      <c r="FD11" s="1" t="s">
        <v>0</v>
      </c>
      <c r="FE11" s="1" t="s">
        <v>0</v>
      </c>
      <c r="FF11" s="7">
        <v>5</v>
      </c>
      <c r="FG11" s="7">
        <v>5</v>
      </c>
      <c r="FH11" s="8">
        <v>3.2258064516129031E-2</v>
      </c>
      <c r="FI11" s="7">
        <v>0</v>
      </c>
    </row>
    <row r="12" spans="1:165">
      <c r="A12" s="1" t="s">
        <v>15</v>
      </c>
      <c r="B12" s="1" t="s">
        <v>25</v>
      </c>
      <c r="C12" s="1" t="s">
        <v>17</v>
      </c>
      <c r="D12" s="7">
        <f t="shared" si="0"/>
        <v>29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>
        <v>2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  <c r="Y12" s="1" t="s">
        <v>0</v>
      </c>
      <c r="Z12" s="1" t="s">
        <v>0</v>
      </c>
      <c r="AA12" s="1">
        <v>14</v>
      </c>
      <c r="AB12" s="1">
        <v>4</v>
      </c>
      <c r="AC12" s="1">
        <v>8</v>
      </c>
      <c r="AD12" s="1">
        <v>1</v>
      </c>
      <c r="AE12" s="1" t="s">
        <v>0</v>
      </c>
      <c r="AF12" s="1" t="s">
        <v>0</v>
      </c>
      <c r="AG12" s="1" t="s">
        <v>0</v>
      </c>
      <c r="AH12" s="1" t="s">
        <v>0</v>
      </c>
      <c r="AI12" s="7">
        <f t="shared" si="1"/>
        <v>1</v>
      </c>
      <c r="AJ12" s="1" t="s">
        <v>0</v>
      </c>
      <c r="AK12" s="1" t="s">
        <v>0</v>
      </c>
      <c r="AL12" s="1" t="s">
        <v>0</v>
      </c>
      <c r="AM12" s="1" t="s">
        <v>0</v>
      </c>
      <c r="AN12" s="1" t="s">
        <v>0</v>
      </c>
      <c r="AO12" s="1" t="s">
        <v>0</v>
      </c>
      <c r="AP12" s="1" t="s">
        <v>0</v>
      </c>
      <c r="AQ12" s="1" t="s">
        <v>0</v>
      </c>
      <c r="AR12" s="1" t="s">
        <v>0</v>
      </c>
      <c r="AS12" s="1" t="s">
        <v>0</v>
      </c>
      <c r="AT12" s="1" t="s">
        <v>0</v>
      </c>
      <c r="AU12" s="1" t="s">
        <v>0</v>
      </c>
      <c r="AV12" s="1" t="s">
        <v>0</v>
      </c>
      <c r="AW12" s="1">
        <v>1</v>
      </c>
      <c r="AX12" s="1" t="s">
        <v>0</v>
      </c>
      <c r="AY12" s="1" t="s">
        <v>0</v>
      </c>
      <c r="AZ12" s="1" t="s">
        <v>0</v>
      </c>
      <c r="BA12" s="1" t="s">
        <v>0</v>
      </c>
      <c r="BB12" s="1" t="s">
        <v>0</v>
      </c>
      <c r="BC12" s="1" t="s">
        <v>0</v>
      </c>
      <c r="BD12" s="1" t="s">
        <v>0</v>
      </c>
      <c r="BE12" s="1" t="s">
        <v>0</v>
      </c>
      <c r="BF12" s="1" t="s">
        <v>0</v>
      </c>
      <c r="BG12" s="1" t="s">
        <v>0</v>
      </c>
      <c r="BH12" s="1" t="s">
        <v>0</v>
      </c>
      <c r="BI12" s="1" t="s">
        <v>0</v>
      </c>
      <c r="BJ12" s="1" t="s">
        <v>0</v>
      </c>
      <c r="BK12" s="1" t="s">
        <v>0</v>
      </c>
      <c r="BL12" s="1" t="s">
        <v>0</v>
      </c>
      <c r="BM12" s="1" t="s">
        <v>0</v>
      </c>
      <c r="BN12" s="1" t="s">
        <v>0</v>
      </c>
      <c r="BO12" s="7">
        <f t="shared" si="2"/>
        <v>0</v>
      </c>
      <c r="BP12" s="1" t="s">
        <v>0</v>
      </c>
      <c r="BQ12" s="1" t="s">
        <v>0</v>
      </c>
      <c r="BR12" s="1" t="s">
        <v>0</v>
      </c>
      <c r="BS12" s="1" t="s">
        <v>0</v>
      </c>
      <c r="BT12" s="1" t="s">
        <v>0</v>
      </c>
      <c r="BU12" s="1" t="s">
        <v>0</v>
      </c>
      <c r="BV12" s="1" t="s">
        <v>0</v>
      </c>
      <c r="BW12" s="1" t="s">
        <v>0</v>
      </c>
      <c r="BX12" s="1" t="s">
        <v>0</v>
      </c>
      <c r="BY12" s="1" t="s">
        <v>0</v>
      </c>
      <c r="BZ12" s="1" t="s">
        <v>0</v>
      </c>
      <c r="CA12" s="1" t="s">
        <v>0</v>
      </c>
      <c r="CB12" s="1" t="s">
        <v>0</v>
      </c>
      <c r="CC12" s="1" t="s">
        <v>0</v>
      </c>
      <c r="CD12" s="1" t="s">
        <v>0</v>
      </c>
      <c r="CE12" s="1" t="s">
        <v>0</v>
      </c>
      <c r="CF12" s="1" t="s">
        <v>0</v>
      </c>
      <c r="CG12" s="1" t="s">
        <v>0</v>
      </c>
      <c r="CH12" s="1" t="s">
        <v>0</v>
      </c>
      <c r="CI12" s="1" t="s">
        <v>0</v>
      </c>
      <c r="CJ12" s="1" t="s">
        <v>0</v>
      </c>
      <c r="CK12" s="1" t="s">
        <v>0</v>
      </c>
      <c r="CL12" s="1" t="s">
        <v>0</v>
      </c>
      <c r="CM12" s="1" t="s">
        <v>0</v>
      </c>
      <c r="CN12" s="1" t="s">
        <v>0</v>
      </c>
      <c r="CO12" s="1" t="s">
        <v>0</v>
      </c>
      <c r="CP12" s="1" t="s">
        <v>0</v>
      </c>
      <c r="CQ12" s="1" t="s">
        <v>0</v>
      </c>
      <c r="CR12" s="1" t="s">
        <v>0</v>
      </c>
      <c r="CS12" s="1" t="s">
        <v>0</v>
      </c>
      <c r="CT12" s="7">
        <f t="shared" si="3"/>
        <v>0</v>
      </c>
      <c r="CU12" s="1" t="s">
        <v>0</v>
      </c>
      <c r="CV12" s="1" t="s">
        <v>0</v>
      </c>
      <c r="CW12" s="1" t="s">
        <v>0</v>
      </c>
      <c r="CX12" s="1" t="s">
        <v>0</v>
      </c>
      <c r="CY12" s="1" t="s">
        <v>0</v>
      </c>
      <c r="CZ12" s="1" t="s">
        <v>0</v>
      </c>
      <c r="DA12" s="1" t="s">
        <v>0</v>
      </c>
      <c r="DB12" s="1" t="s">
        <v>0</v>
      </c>
      <c r="DC12" s="1" t="s">
        <v>0</v>
      </c>
      <c r="DD12" s="1" t="s">
        <v>0</v>
      </c>
      <c r="DE12" s="1" t="s">
        <v>0</v>
      </c>
      <c r="DF12" s="1" t="s">
        <v>0</v>
      </c>
      <c r="DG12" s="1" t="s">
        <v>0</v>
      </c>
      <c r="DH12" s="1" t="s">
        <v>0</v>
      </c>
      <c r="DI12" s="1" t="s">
        <v>0</v>
      </c>
      <c r="DJ12" s="1" t="s">
        <v>0</v>
      </c>
      <c r="DK12" s="1" t="s">
        <v>0</v>
      </c>
      <c r="DL12" s="1" t="s">
        <v>0</v>
      </c>
      <c r="DM12" s="1" t="s">
        <v>0</v>
      </c>
      <c r="DN12" s="1" t="s">
        <v>0</v>
      </c>
      <c r="DO12" s="1" t="s">
        <v>0</v>
      </c>
      <c r="DP12" s="1" t="s">
        <v>0</v>
      </c>
      <c r="DQ12" s="1" t="s">
        <v>0</v>
      </c>
      <c r="DR12" s="1" t="s">
        <v>0</v>
      </c>
      <c r="DS12" s="1" t="s">
        <v>0</v>
      </c>
      <c r="DT12" s="1" t="s">
        <v>0</v>
      </c>
      <c r="DU12" s="1" t="s">
        <v>0</v>
      </c>
      <c r="DV12" s="1" t="s">
        <v>0</v>
      </c>
      <c r="DW12" s="1" t="s">
        <v>0</v>
      </c>
      <c r="DX12" s="1" t="s">
        <v>0</v>
      </c>
      <c r="DY12" s="1" t="s">
        <v>0</v>
      </c>
      <c r="DZ12" s="7">
        <f t="shared" si="4"/>
        <v>0</v>
      </c>
      <c r="EA12" s="1" t="s">
        <v>0</v>
      </c>
      <c r="EB12" s="1" t="s">
        <v>0</v>
      </c>
      <c r="EC12" s="1" t="s">
        <v>0</v>
      </c>
      <c r="ED12" s="1" t="s">
        <v>0</v>
      </c>
      <c r="EE12" s="1" t="s">
        <v>0</v>
      </c>
      <c r="EF12" s="1" t="s">
        <v>0</v>
      </c>
      <c r="EG12" s="1" t="s">
        <v>0</v>
      </c>
      <c r="EH12" s="1" t="s">
        <v>0</v>
      </c>
      <c r="EI12" s="1" t="s">
        <v>0</v>
      </c>
      <c r="EJ12" s="1" t="s">
        <v>0</v>
      </c>
      <c r="EK12" s="1" t="s">
        <v>0</v>
      </c>
      <c r="EL12" s="1" t="s">
        <v>0</v>
      </c>
      <c r="EM12" s="1" t="s">
        <v>0</v>
      </c>
      <c r="EN12" s="1" t="s">
        <v>0</v>
      </c>
      <c r="EO12" s="1" t="s">
        <v>0</v>
      </c>
      <c r="EP12" s="1" t="s">
        <v>0</v>
      </c>
      <c r="EQ12" s="1" t="s">
        <v>0</v>
      </c>
      <c r="ER12" s="1" t="s">
        <v>0</v>
      </c>
      <c r="ES12" s="1" t="s">
        <v>0</v>
      </c>
      <c r="ET12" s="1" t="s">
        <v>0</v>
      </c>
      <c r="EU12" s="1" t="s">
        <v>0</v>
      </c>
      <c r="EV12" s="1" t="s">
        <v>0</v>
      </c>
      <c r="EW12" s="1" t="s">
        <v>0</v>
      </c>
      <c r="EX12" s="1" t="s">
        <v>0</v>
      </c>
      <c r="EY12" s="1" t="s">
        <v>0</v>
      </c>
      <c r="EZ12" s="1" t="s">
        <v>0</v>
      </c>
      <c r="FA12" s="1" t="s">
        <v>0</v>
      </c>
      <c r="FB12" s="1" t="s">
        <v>0</v>
      </c>
      <c r="FC12" s="1" t="s">
        <v>0</v>
      </c>
      <c r="FD12" s="1" t="s">
        <v>0</v>
      </c>
      <c r="FE12" s="1" t="s">
        <v>0</v>
      </c>
      <c r="FF12" s="7">
        <v>30</v>
      </c>
      <c r="FG12" s="7">
        <v>30</v>
      </c>
      <c r="FH12" s="8">
        <v>0.19354838709677419</v>
      </c>
      <c r="FI12" s="7">
        <v>0</v>
      </c>
    </row>
    <row r="13" spans="1:165" s="7" customFormat="1">
      <c r="A13" s="7" t="s">
        <v>26</v>
      </c>
      <c r="B13" s="7" t="s">
        <v>0</v>
      </c>
      <c r="C13" s="7" t="s">
        <v>0</v>
      </c>
      <c r="D13" s="7">
        <f>SUM(D6:D12)</f>
        <v>106</v>
      </c>
      <c r="E13" s="7">
        <f>SUM(E6:E12)</f>
        <v>0</v>
      </c>
      <c r="F13" s="7">
        <f t="shared" ref="F13:BS13" si="5">SUM(F6:F12)</f>
        <v>19</v>
      </c>
      <c r="G13" s="7">
        <f t="shared" si="5"/>
        <v>13</v>
      </c>
      <c r="H13" s="7">
        <f t="shared" si="5"/>
        <v>-1</v>
      </c>
      <c r="I13" s="7">
        <f t="shared" si="5"/>
        <v>4</v>
      </c>
      <c r="J13" s="7">
        <f t="shared" si="5"/>
        <v>11</v>
      </c>
      <c r="K13" s="7">
        <f t="shared" si="5"/>
        <v>0</v>
      </c>
      <c r="L13" s="7">
        <f t="shared" si="5"/>
        <v>0</v>
      </c>
      <c r="M13" s="7">
        <f t="shared" si="5"/>
        <v>-1</v>
      </c>
      <c r="N13" s="7">
        <f t="shared" si="5"/>
        <v>10</v>
      </c>
      <c r="O13" s="7">
        <f t="shared" si="5"/>
        <v>5</v>
      </c>
      <c r="P13" s="7">
        <f t="shared" si="5"/>
        <v>-3</v>
      </c>
      <c r="Q13" s="7">
        <f t="shared" si="5"/>
        <v>3</v>
      </c>
      <c r="R13" s="7">
        <f t="shared" si="5"/>
        <v>0</v>
      </c>
      <c r="S13" s="7">
        <f t="shared" si="5"/>
        <v>0</v>
      </c>
      <c r="T13" s="7">
        <f t="shared" si="5"/>
        <v>0</v>
      </c>
      <c r="U13" s="7">
        <f t="shared" si="5"/>
        <v>0</v>
      </c>
      <c r="V13" s="7">
        <f t="shared" si="5"/>
        <v>0</v>
      </c>
      <c r="W13" s="7">
        <f t="shared" si="5"/>
        <v>-1</v>
      </c>
      <c r="X13" s="7">
        <f t="shared" si="5"/>
        <v>7</v>
      </c>
      <c r="Y13" s="7">
        <f t="shared" si="5"/>
        <v>-3</v>
      </c>
      <c r="Z13" s="7">
        <f t="shared" si="5"/>
        <v>0</v>
      </c>
      <c r="AA13" s="7">
        <f t="shared" si="5"/>
        <v>37</v>
      </c>
      <c r="AB13" s="7">
        <f t="shared" si="5"/>
        <v>4</v>
      </c>
      <c r="AC13" s="7">
        <f t="shared" si="5"/>
        <v>4</v>
      </c>
      <c r="AD13" s="7">
        <f t="shared" si="5"/>
        <v>0</v>
      </c>
      <c r="AE13" s="7">
        <f t="shared" si="5"/>
        <v>-2</v>
      </c>
      <c r="AF13" s="7">
        <f t="shared" si="5"/>
        <v>0</v>
      </c>
      <c r="AG13" s="7">
        <f t="shared" si="5"/>
        <v>0</v>
      </c>
      <c r="AH13" s="7">
        <f t="shared" si="5"/>
        <v>0</v>
      </c>
      <c r="AI13" s="7">
        <f t="shared" si="5"/>
        <v>25</v>
      </c>
      <c r="AJ13" s="7">
        <f t="shared" si="5"/>
        <v>0</v>
      </c>
      <c r="AK13" s="7">
        <f t="shared" si="5"/>
        <v>0</v>
      </c>
      <c r="AL13" s="7">
        <f t="shared" si="5"/>
        <v>0</v>
      </c>
      <c r="AM13" s="7">
        <f t="shared" si="5"/>
        <v>0</v>
      </c>
      <c r="AN13" s="7">
        <f t="shared" si="5"/>
        <v>0</v>
      </c>
      <c r="AO13" s="7">
        <f t="shared" si="5"/>
        <v>0</v>
      </c>
      <c r="AP13" s="7">
        <f t="shared" si="5"/>
        <v>1</v>
      </c>
      <c r="AQ13" s="7">
        <f t="shared" si="5"/>
        <v>2</v>
      </c>
      <c r="AR13" s="7">
        <f t="shared" si="5"/>
        <v>0</v>
      </c>
      <c r="AS13" s="7">
        <f t="shared" si="5"/>
        <v>0</v>
      </c>
      <c r="AT13" s="7">
        <f t="shared" si="5"/>
        <v>0</v>
      </c>
      <c r="AU13" s="7">
        <f t="shared" si="5"/>
        <v>0</v>
      </c>
      <c r="AV13" s="7">
        <f t="shared" si="5"/>
        <v>0</v>
      </c>
      <c r="AW13" s="7">
        <f t="shared" si="5"/>
        <v>3</v>
      </c>
      <c r="AX13" s="7">
        <f t="shared" si="5"/>
        <v>0</v>
      </c>
      <c r="AY13" s="7">
        <f t="shared" si="5"/>
        <v>6</v>
      </c>
      <c r="AZ13" s="7">
        <f t="shared" si="5"/>
        <v>0</v>
      </c>
      <c r="BA13" s="7">
        <f t="shared" si="5"/>
        <v>0</v>
      </c>
      <c r="BB13" s="7">
        <f t="shared" si="5"/>
        <v>0</v>
      </c>
      <c r="BC13" s="7">
        <f t="shared" si="5"/>
        <v>0</v>
      </c>
      <c r="BD13" s="7">
        <f t="shared" si="5"/>
        <v>13</v>
      </c>
      <c r="BE13" s="7">
        <f t="shared" si="5"/>
        <v>0</v>
      </c>
      <c r="BF13" s="7">
        <f t="shared" si="5"/>
        <v>0</v>
      </c>
      <c r="BG13" s="7">
        <f t="shared" si="5"/>
        <v>0</v>
      </c>
      <c r="BH13" s="7">
        <f t="shared" si="5"/>
        <v>0</v>
      </c>
      <c r="BI13" s="7">
        <f t="shared" si="5"/>
        <v>0</v>
      </c>
      <c r="BJ13" s="7">
        <f t="shared" si="5"/>
        <v>0</v>
      </c>
      <c r="BK13" s="7">
        <f t="shared" si="5"/>
        <v>0</v>
      </c>
      <c r="BL13" s="7">
        <f t="shared" si="5"/>
        <v>0</v>
      </c>
      <c r="BM13" s="7">
        <f t="shared" si="5"/>
        <v>0</v>
      </c>
      <c r="BN13" s="7">
        <f t="shared" si="5"/>
        <v>0</v>
      </c>
      <c r="BO13" s="7">
        <f>SUM(BO6:BO12)</f>
        <v>0</v>
      </c>
      <c r="BP13" s="7">
        <f t="shared" si="5"/>
        <v>0</v>
      </c>
      <c r="BQ13" s="7">
        <f t="shared" si="5"/>
        <v>0</v>
      </c>
      <c r="BR13" s="7">
        <f t="shared" si="5"/>
        <v>0</v>
      </c>
      <c r="BS13" s="7">
        <f t="shared" si="5"/>
        <v>0</v>
      </c>
      <c r="BT13" s="7">
        <f t="shared" ref="BT13:EG13" si="6">SUM(BT6:BT12)</f>
        <v>0</v>
      </c>
      <c r="BU13" s="7">
        <f t="shared" si="6"/>
        <v>0</v>
      </c>
      <c r="BV13" s="7">
        <f t="shared" si="6"/>
        <v>0</v>
      </c>
      <c r="BW13" s="7">
        <f t="shared" si="6"/>
        <v>0</v>
      </c>
      <c r="BX13" s="7">
        <f t="shared" si="6"/>
        <v>0</v>
      </c>
      <c r="BY13" s="7">
        <f t="shared" si="6"/>
        <v>0</v>
      </c>
      <c r="BZ13" s="7">
        <f t="shared" si="6"/>
        <v>0</v>
      </c>
      <c r="CA13" s="7">
        <f t="shared" si="6"/>
        <v>0</v>
      </c>
      <c r="CB13" s="7">
        <f t="shared" si="6"/>
        <v>0</v>
      </c>
      <c r="CC13" s="7">
        <f t="shared" si="6"/>
        <v>0</v>
      </c>
      <c r="CD13" s="7">
        <f t="shared" si="6"/>
        <v>0</v>
      </c>
      <c r="CE13" s="7">
        <f t="shared" si="6"/>
        <v>0</v>
      </c>
      <c r="CF13" s="7">
        <f t="shared" si="6"/>
        <v>0</v>
      </c>
      <c r="CG13" s="7">
        <f t="shared" si="6"/>
        <v>0</v>
      </c>
      <c r="CH13" s="7">
        <f t="shared" si="6"/>
        <v>0</v>
      </c>
      <c r="CI13" s="7">
        <f t="shared" si="6"/>
        <v>0</v>
      </c>
      <c r="CJ13" s="7">
        <f t="shared" si="6"/>
        <v>0</v>
      </c>
      <c r="CK13" s="7">
        <f t="shared" si="6"/>
        <v>0</v>
      </c>
      <c r="CL13" s="7">
        <f t="shared" si="6"/>
        <v>0</v>
      </c>
      <c r="CM13" s="7">
        <f t="shared" si="6"/>
        <v>0</v>
      </c>
      <c r="CN13" s="7">
        <f t="shared" si="6"/>
        <v>0</v>
      </c>
      <c r="CO13" s="7">
        <f t="shared" si="6"/>
        <v>0</v>
      </c>
      <c r="CP13" s="7">
        <f t="shared" si="6"/>
        <v>0</v>
      </c>
      <c r="CQ13" s="7">
        <f t="shared" si="6"/>
        <v>0</v>
      </c>
      <c r="CR13" s="7">
        <f t="shared" si="6"/>
        <v>0</v>
      </c>
      <c r="CS13" s="7">
        <f t="shared" si="6"/>
        <v>0</v>
      </c>
      <c r="CT13" s="7">
        <f t="shared" si="6"/>
        <v>20</v>
      </c>
      <c r="CU13" s="7">
        <f t="shared" si="6"/>
        <v>0</v>
      </c>
      <c r="CV13" s="7">
        <f t="shared" si="6"/>
        <v>0</v>
      </c>
      <c r="CW13" s="7">
        <f t="shared" si="6"/>
        <v>0</v>
      </c>
      <c r="CX13" s="7">
        <f t="shared" si="6"/>
        <v>0</v>
      </c>
      <c r="CY13" s="7">
        <f t="shared" si="6"/>
        <v>0</v>
      </c>
      <c r="CZ13" s="7">
        <f t="shared" si="6"/>
        <v>0</v>
      </c>
      <c r="DA13" s="7">
        <f t="shared" si="6"/>
        <v>0</v>
      </c>
      <c r="DB13" s="7">
        <f t="shared" si="6"/>
        <v>0</v>
      </c>
      <c r="DC13" s="7">
        <f t="shared" si="6"/>
        <v>0</v>
      </c>
      <c r="DD13" s="7">
        <f t="shared" si="6"/>
        <v>0</v>
      </c>
      <c r="DE13" s="7">
        <f t="shared" si="6"/>
        <v>0</v>
      </c>
      <c r="DF13" s="7">
        <f t="shared" si="6"/>
        <v>0</v>
      </c>
      <c r="DG13" s="7">
        <f t="shared" si="6"/>
        <v>0</v>
      </c>
      <c r="DH13" s="7">
        <f t="shared" si="6"/>
        <v>0</v>
      </c>
      <c r="DI13" s="7">
        <f t="shared" si="6"/>
        <v>0</v>
      </c>
      <c r="DJ13" s="7">
        <f t="shared" si="6"/>
        <v>0</v>
      </c>
      <c r="DK13" s="7">
        <f t="shared" si="6"/>
        <v>0</v>
      </c>
      <c r="DL13" s="7">
        <f t="shared" si="6"/>
        <v>0</v>
      </c>
      <c r="DM13" s="7">
        <f t="shared" si="6"/>
        <v>0</v>
      </c>
      <c r="DN13" s="7">
        <f t="shared" si="6"/>
        <v>0</v>
      </c>
      <c r="DO13" s="7">
        <f t="shared" si="6"/>
        <v>0</v>
      </c>
      <c r="DP13" s="7">
        <f t="shared" si="6"/>
        <v>0</v>
      </c>
      <c r="DQ13" s="7">
        <f t="shared" si="6"/>
        <v>0</v>
      </c>
      <c r="DR13" s="7">
        <f t="shared" si="6"/>
        <v>16</v>
      </c>
      <c r="DS13" s="7">
        <f t="shared" si="6"/>
        <v>0</v>
      </c>
      <c r="DT13" s="7">
        <f t="shared" si="6"/>
        <v>5</v>
      </c>
      <c r="DU13" s="7">
        <f t="shared" si="6"/>
        <v>0</v>
      </c>
      <c r="DV13" s="7">
        <f t="shared" si="6"/>
        <v>0</v>
      </c>
      <c r="DW13" s="7">
        <f t="shared" si="6"/>
        <v>0</v>
      </c>
      <c r="DX13" s="7">
        <f t="shared" si="6"/>
        <v>-1</v>
      </c>
      <c r="DY13" s="7">
        <f t="shared" si="6"/>
        <v>0</v>
      </c>
      <c r="DZ13" s="7">
        <f t="shared" si="6"/>
        <v>4</v>
      </c>
      <c r="EA13" s="7">
        <f t="shared" si="6"/>
        <v>0</v>
      </c>
      <c r="EB13" s="7">
        <f t="shared" si="6"/>
        <v>0</v>
      </c>
      <c r="EC13" s="7">
        <f t="shared" si="6"/>
        <v>0</v>
      </c>
      <c r="ED13" s="7">
        <f t="shared" si="6"/>
        <v>0</v>
      </c>
      <c r="EE13" s="7">
        <f t="shared" si="6"/>
        <v>0</v>
      </c>
      <c r="EF13" s="7">
        <f t="shared" si="6"/>
        <v>3</v>
      </c>
      <c r="EG13" s="7">
        <f t="shared" si="6"/>
        <v>1</v>
      </c>
      <c r="EH13" s="7">
        <f t="shared" ref="EH13:FG13" si="7">SUM(EH6:EH12)</f>
        <v>-1</v>
      </c>
      <c r="EI13" s="7">
        <f t="shared" si="7"/>
        <v>0</v>
      </c>
      <c r="EJ13" s="7">
        <f t="shared" si="7"/>
        <v>1</v>
      </c>
      <c r="EK13" s="7">
        <f t="shared" si="7"/>
        <v>0</v>
      </c>
      <c r="EL13" s="7">
        <f t="shared" si="7"/>
        <v>0</v>
      </c>
      <c r="EM13" s="7">
        <f t="shared" si="7"/>
        <v>0</v>
      </c>
      <c r="EN13" s="7">
        <f t="shared" si="7"/>
        <v>0</v>
      </c>
      <c r="EO13" s="7">
        <f t="shared" si="7"/>
        <v>0</v>
      </c>
      <c r="EP13" s="7">
        <f t="shared" si="7"/>
        <v>0</v>
      </c>
      <c r="EQ13" s="7">
        <f t="shared" si="7"/>
        <v>0</v>
      </c>
      <c r="ER13" s="7">
        <f t="shared" si="7"/>
        <v>0</v>
      </c>
      <c r="ES13" s="7">
        <f t="shared" si="7"/>
        <v>0</v>
      </c>
      <c r="ET13" s="7">
        <f t="shared" si="7"/>
        <v>0</v>
      </c>
      <c r="EU13" s="7">
        <f t="shared" si="7"/>
        <v>0</v>
      </c>
      <c r="EV13" s="7">
        <f t="shared" si="7"/>
        <v>0</v>
      </c>
      <c r="EW13" s="7">
        <f t="shared" si="7"/>
        <v>0</v>
      </c>
      <c r="EX13" s="7">
        <f t="shared" si="7"/>
        <v>0</v>
      </c>
      <c r="EY13" s="7">
        <f t="shared" si="7"/>
        <v>0</v>
      </c>
      <c r="EZ13" s="7">
        <f t="shared" si="7"/>
        <v>0</v>
      </c>
      <c r="FA13" s="7">
        <f t="shared" si="7"/>
        <v>0</v>
      </c>
      <c r="FB13" s="7">
        <f t="shared" si="7"/>
        <v>0</v>
      </c>
      <c r="FC13" s="7">
        <f t="shared" si="7"/>
        <v>0</v>
      </c>
      <c r="FD13" s="7">
        <f t="shared" si="7"/>
        <v>0</v>
      </c>
      <c r="FE13" s="7">
        <f t="shared" si="7"/>
        <v>0</v>
      </c>
      <c r="FF13" s="7">
        <f t="shared" si="7"/>
        <v>155</v>
      </c>
      <c r="FG13" s="7">
        <f t="shared" si="7"/>
        <v>155</v>
      </c>
      <c r="FH13" s="8">
        <f>SUM(FH6:FH12)</f>
        <v>1</v>
      </c>
      <c r="FI13" s="7">
        <v>0</v>
      </c>
    </row>
  </sheetData>
  <mergeCells count="2">
    <mergeCell ref="A1:FI1"/>
    <mergeCell ref="A2:FI2"/>
  </mergeCells>
  <phoneticPr fontId="2" type="noConversion"/>
  <pageMargins left="0.7" right="0.7" top="0.75" bottom="0.75" header="0.3" footer="0.3"/>
  <ignoredErrors>
    <ignoredError sqref="A1:A13 EA1:FI12 FI13 B13:C13 B1:C12 E1:AH12 AJ1:BN12 BP1:CS12 CU1:DY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1_발주서</vt:lpstr>
      <vt:lpstr>2_일자별판매</vt:lpstr>
      <vt:lpstr>'1_발주서'!_FilterDatabase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</dc:creator>
  <cp:lastModifiedBy>USE</cp:lastModifiedBy>
  <dcterms:created xsi:type="dcterms:W3CDTF">2026-05-26T10:09:39Z</dcterms:created>
  <dcterms:modified xsi:type="dcterms:W3CDTF">2026-08-22T15:22:41Z</dcterms:modified>
</cp:coreProperties>
</file>